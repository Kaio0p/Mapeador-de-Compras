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Q-KRUBENS\Desktop\"/>
    </mc:Choice>
  </mc:AlternateContent>
  <bookViews>
    <workbookView xWindow="0" yWindow="0" windowWidth="23040" windowHeight="890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1" l="1"/>
  <c r="O32" i="1"/>
  <c r="N32" i="1"/>
  <c r="Q31" i="1"/>
  <c r="O31" i="1"/>
  <c r="N31" i="1"/>
  <c r="Q30" i="1"/>
  <c r="O30" i="1"/>
  <c r="N30" i="1"/>
  <c r="Q29" i="1"/>
  <c r="O29" i="1"/>
  <c r="N29" i="1"/>
  <c r="Q28" i="1"/>
  <c r="N28" i="1"/>
  <c r="O28" i="1" s="1"/>
  <c r="Q27" i="1"/>
  <c r="O27" i="1"/>
  <c r="N27" i="1"/>
  <c r="Q26" i="1"/>
  <c r="O26" i="1"/>
  <c r="N26" i="1"/>
  <c r="Q25" i="1"/>
  <c r="O25" i="1"/>
  <c r="N25" i="1"/>
  <c r="Q24" i="1"/>
  <c r="O24" i="1"/>
  <c r="N24" i="1"/>
  <c r="Q23" i="1"/>
  <c r="O23" i="1"/>
  <c r="N23" i="1"/>
  <c r="Q22" i="1"/>
  <c r="O22" i="1"/>
  <c r="N22" i="1"/>
  <c r="Q21" i="1"/>
  <c r="O21" i="1"/>
  <c r="N21" i="1"/>
  <c r="Q20" i="1"/>
  <c r="O20" i="1"/>
  <c r="N20" i="1"/>
  <c r="Q19" i="1"/>
  <c r="O19" i="1"/>
  <c r="N19" i="1"/>
  <c r="Q18" i="1"/>
  <c r="O18" i="1"/>
  <c r="N18" i="1"/>
  <c r="Q17" i="1"/>
  <c r="O17" i="1"/>
  <c r="N17" i="1"/>
  <c r="Q33" i="1"/>
  <c r="O33" i="1"/>
  <c r="N33" i="1"/>
  <c r="N34" i="1"/>
  <c r="O34" i="1"/>
  <c r="Q34" i="1"/>
  <c r="Q37" i="1"/>
  <c r="O37" i="1"/>
  <c r="N37" i="1"/>
  <c r="Q36" i="1"/>
  <c r="O36" i="1"/>
  <c r="N36" i="1"/>
  <c r="Q35" i="1"/>
  <c r="O35" i="1"/>
  <c r="N35" i="1"/>
  <c r="Q38" i="1"/>
  <c r="O38" i="1"/>
  <c r="N38" i="1"/>
  <c r="Q39" i="1"/>
  <c r="O39" i="1"/>
  <c r="N39" i="1"/>
  <c r="Q40" i="1"/>
  <c r="O40" i="1"/>
  <c r="N40" i="1"/>
  <c r="Q41" i="1"/>
  <c r="O41" i="1"/>
  <c r="N41" i="1"/>
  <c r="Q42" i="1"/>
  <c r="O42" i="1"/>
  <c r="N42" i="1"/>
  <c r="Q43" i="1"/>
  <c r="O43" i="1"/>
  <c r="N43" i="1"/>
  <c r="Q44" i="1"/>
  <c r="O44" i="1"/>
  <c r="N44" i="1"/>
  <c r="Q47" i="1"/>
  <c r="O47" i="1"/>
  <c r="N47" i="1"/>
  <c r="Q46" i="1"/>
  <c r="O46" i="1"/>
  <c r="N46" i="1"/>
  <c r="Q45" i="1"/>
  <c r="N45" i="1"/>
  <c r="O45" i="1" s="1"/>
  <c r="Q12" i="1" l="1"/>
  <c r="Q13" i="1"/>
  <c r="Q49" i="1" l="1"/>
  <c r="N49" i="1"/>
  <c r="O49" i="1" s="1"/>
  <c r="Q48" i="1"/>
  <c r="N48" i="1"/>
  <c r="O48" i="1" s="1"/>
  <c r="Q15" i="1"/>
  <c r="N15" i="1"/>
  <c r="O15" i="1" s="1"/>
  <c r="Q14" i="1"/>
  <c r="N14" i="1"/>
  <c r="O14" i="1" s="1"/>
  <c r="N12" i="1"/>
  <c r="O12" i="1" s="1"/>
  <c r="Q16" i="1" l="1"/>
  <c r="Q50" i="1" l="1"/>
  <c r="Q51" i="1"/>
  <c r="Q52" i="1"/>
  <c r="Q53" i="1"/>
  <c r="Q11" i="1"/>
  <c r="L54" i="1" l="1"/>
  <c r="K54" i="1"/>
  <c r="J54" i="1"/>
  <c r="I54" i="1"/>
  <c r="N53" i="1"/>
  <c r="O53" i="1" s="1"/>
  <c r="N52" i="1"/>
  <c r="O52" i="1" s="1"/>
  <c r="N51" i="1"/>
  <c r="O51" i="1" s="1"/>
  <c r="N50" i="1"/>
  <c r="O50" i="1" s="1"/>
  <c r="N16" i="1"/>
  <c r="O16" i="1" s="1"/>
  <c r="N13" i="1"/>
  <c r="O13" i="1" s="1"/>
  <c r="N11" i="1"/>
  <c r="O11" i="1" s="1"/>
  <c r="Q54" i="1" l="1"/>
  <c r="O54" i="1"/>
</calcChain>
</file>

<file path=xl/sharedStrings.xml><?xml version="1.0" encoding="utf-8"?>
<sst xmlns="http://schemas.openxmlformats.org/spreadsheetml/2006/main" count="26" uniqueCount="26">
  <si>
    <t xml:space="preserve"> Aprovação  GAD:________________________________________________</t>
  </si>
  <si>
    <t>ID</t>
  </si>
  <si>
    <t>Itens</t>
  </si>
  <si>
    <t>Marca</t>
  </si>
  <si>
    <t>Qtd</t>
  </si>
  <si>
    <t>UND</t>
  </si>
  <si>
    <t>Fornecedor 1</t>
  </si>
  <si>
    <t>Fornecedor 2</t>
  </si>
  <si>
    <t>Fornecedor 3</t>
  </si>
  <si>
    <t>Fornecedor 4</t>
  </si>
  <si>
    <t>Menor Preço</t>
  </si>
  <si>
    <t>Preço Autorizado</t>
  </si>
  <si>
    <t>Observação</t>
  </si>
  <si>
    <r>
      <t>N</t>
    </r>
    <r>
      <rPr>
        <b/>
        <sz val="20"/>
        <rFont val="Calibri"/>
        <family val="2"/>
      </rPr>
      <t>º NF</t>
    </r>
  </si>
  <si>
    <r>
      <t>Valor Total</t>
    </r>
    <r>
      <rPr>
        <sz val="20"/>
        <rFont val="Calibri"/>
        <family val="2"/>
        <scheme val="minor"/>
      </rPr>
      <t xml:space="preserve"> (Menor Preço)</t>
    </r>
  </si>
  <si>
    <r>
      <t>Valor Total</t>
    </r>
    <r>
      <rPr>
        <sz val="20"/>
        <rFont val="Calibri"/>
        <family val="2"/>
        <scheme val="minor"/>
      </rPr>
      <t xml:space="preserve"> (Autorizado)</t>
    </r>
  </si>
  <si>
    <t>MAPA DE COMPRAS</t>
  </si>
  <si>
    <t xml:space="preserve"> </t>
  </si>
  <si>
    <t>SMAIS</t>
  </si>
  <si>
    <t>JAE ILHA</t>
  </si>
  <si>
    <t>MINAS GERAL</t>
  </si>
  <si>
    <t xml:space="preserve">MAGAZINE </t>
  </si>
  <si>
    <t xml:space="preserve">Data: </t>
  </si>
  <si>
    <t xml:space="preserve">                                                                                                        Responsável pela compra: </t>
  </si>
  <si>
    <t xml:space="preserve">               Filial: </t>
  </si>
  <si>
    <t xml:space="preserve"> Número Sequencial: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</si>
</sst>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[$-416]d\ \ mmmm\,\ yyyy;@"/>
    <numFmt numFmtId="165" formatCode="_-&quot;R$&quot;* #,##0.00_-;\-&quot;R$&quot;* #,##0.00_-;_-&quot;R$&quot;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Calibri"/>
      <family val="2"/>
    </font>
    <font>
      <sz val="20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mbria"/>
      <family val="1"/>
    </font>
    <font>
      <b/>
      <sz val="18"/>
      <color theme="1"/>
      <name val="Calibri"/>
      <family val="2"/>
      <scheme val="minor"/>
    </font>
    <font>
      <sz val="36"/>
      <color theme="1"/>
      <name val="Algerian"/>
      <family val="5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4" xfId="0" applyBorder="1" applyProtection="1">
      <protection locked="0"/>
    </xf>
    <xf numFmtId="0" fontId="0" fillId="0" borderId="0" xfId="0" applyProtection="1">
      <protection locked="0"/>
    </xf>
    <xf numFmtId="0" fontId="3" fillId="0" borderId="4" xfId="0" applyFont="1" applyBorder="1" applyProtection="1">
      <protection locked="0"/>
    </xf>
    <xf numFmtId="0" fontId="3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Alignment="1" applyProtection="1">
      <alignment horizontal="centerContinuous" vertical="center"/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4" fillId="2" borderId="4" xfId="0" applyFont="1" applyFill="1" applyBorder="1" applyProtection="1">
      <protection locked="0"/>
    </xf>
    <xf numFmtId="0" fontId="4" fillId="2" borderId="0" xfId="0" applyFont="1" applyFill="1" applyProtection="1">
      <protection locked="0"/>
    </xf>
    <xf numFmtId="165" fontId="0" fillId="0" borderId="0" xfId="0" applyNumberFormat="1" applyProtection="1"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0" fillId="0" borderId="4" xfId="0" applyFont="1" applyBorder="1"/>
    <xf numFmtId="0" fontId="11" fillId="0" borderId="5" xfId="0" applyFont="1" applyBorder="1" applyAlignment="1">
      <alignment horizontal="centerContinuous" vertical="center"/>
    </xf>
    <xf numFmtId="0" fontId="10" fillId="0" borderId="0" xfId="0" applyFont="1"/>
    <xf numFmtId="0" fontId="9" fillId="0" borderId="11" xfId="0" applyFont="1" applyBorder="1" applyAlignment="1" applyProtection="1">
      <alignment horizontal="left" vertical="center"/>
      <protection locked="0"/>
    </xf>
    <xf numFmtId="44" fontId="9" fillId="0" borderId="11" xfId="1" applyFont="1" applyBorder="1" applyAlignment="1" applyProtection="1">
      <alignment horizontal="center" vertical="center"/>
      <protection locked="0"/>
    </xf>
    <xf numFmtId="44" fontId="12" fillId="0" borderId="11" xfId="0" applyNumberFormat="1" applyFont="1" applyBorder="1" applyAlignment="1" applyProtection="1">
      <alignment horizontal="center" vertical="center"/>
      <protection hidden="1"/>
    </xf>
    <xf numFmtId="44" fontId="9" fillId="0" borderId="11" xfId="0" applyNumberFormat="1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44" fontId="5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10" fillId="0" borderId="6" xfId="0" applyFont="1" applyBorder="1" applyAlignment="1"/>
    <xf numFmtId="0" fontId="1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/>
    <xf numFmtId="0" fontId="10" fillId="0" borderId="5" xfId="0" applyFont="1" applyBorder="1"/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right"/>
      <protection locked="0"/>
    </xf>
    <xf numFmtId="0" fontId="0" fillId="0" borderId="5" xfId="0" applyBorder="1" applyProtection="1"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protection locked="0"/>
    </xf>
    <xf numFmtId="0" fontId="14" fillId="0" borderId="0" xfId="0" applyFont="1" applyBorder="1" applyProtection="1">
      <protection locked="0"/>
    </xf>
    <xf numFmtId="0" fontId="14" fillId="0" borderId="0" xfId="0" applyFont="1" applyBorder="1" applyAlignment="1" applyProtection="1">
      <alignment horizontal="center"/>
      <protection locked="0"/>
    </xf>
    <xf numFmtId="0" fontId="14" fillId="0" borderId="0" xfId="0" applyFont="1" applyBorder="1" applyAlignment="1" applyProtection="1">
      <alignment horizontal="right"/>
      <protection locked="0"/>
    </xf>
    <xf numFmtId="0" fontId="3" fillId="0" borderId="0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4" fontId="0" fillId="0" borderId="0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Continuous" vertic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44" fontId="9" fillId="0" borderId="5" xfId="0" applyNumberFormat="1" applyFont="1" applyBorder="1" applyAlignment="1">
      <alignment horizontal="center" vertical="center"/>
    </xf>
    <xf numFmtId="44" fontId="5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44" fontId="9" fillId="0" borderId="6" xfId="0" applyNumberFormat="1" applyFont="1" applyBorder="1" applyAlignment="1" applyProtection="1">
      <alignment horizontal="center" vertical="center"/>
      <protection hidden="1"/>
    </xf>
    <xf numFmtId="0" fontId="0" fillId="0" borderId="6" xfId="0" applyBorder="1" applyProtection="1">
      <protection locked="0"/>
    </xf>
    <xf numFmtId="44" fontId="0" fillId="0" borderId="0" xfId="0" applyNumberFormat="1" applyProtection="1"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</cellXfs>
  <cellStyles count="2">
    <cellStyle name="Moeda" xfId="1" builtinId="4"/>
    <cellStyle name="Normal" xfId="0" builtinId="0"/>
  </cellStyles>
  <dxfs count="107"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1630680</xdr:colOff>
      <xdr:row>3</xdr:row>
      <xdr:rowOff>0</xdr:rowOff>
    </xdr:from>
    <xdr:to>
      <xdr:col>17</xdr:col>
      <xdr:colOff>3459480</xdr:colOff>
      <xdr:row>3</xdr:row>
      <xdr:rowOff>586854</xdr:rowOff>
    </xdr:to>
    <xdr:pic>
      <xdr:nvPicPr>
        <xdr:cNvPr id="4" name="1JEB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0" t="-4616" r="-5422" b="-3078"/>
        <a:stretch/>
      </xdr:blipFill>
      <xdr:spPr>
        <a:xfrm>
          <a:off x="22082760" y="335280"/>
          <a:ext cx="1828800" cy="5868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624840</xdr:colOff>
      <xdr:row>3</xdr:row>
      <xdr:rowOff>548640</xdr:rowOff>
    </xdr:to>
    <xdr:pic>
      <xdr:nvPicPr>
        <xdr:cNvPr id="6" name="GRUPO EB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785" t="-2362" r="4215" b="3312"/>
        <a:stretch/>
      </xdr:blipFill>
      <xdr:spPr>
        <a:xfrm>
          <a:off x="426720" y="335280"/>
          <a:ext cx="868680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59"/>
  <sheetViews>
    <sheetView showGridLines="0" tabSelected="1" zoomScale="50" zoomScaleNormal="50" workbookViewId="0">
      <selection activeCell="I17" sqref="I17"/>
    </sheetView>
  </sheetViews>
  <sheetFormatPr defaultColWidth="9.109375" defaultRowHeight="14.4" x14ac:dyDescent="0.3"/>
  <cols>
    <col min="1" max="1" width="2.6640625" style="5" customWidth="1"/>
    <col min="2" max="3" width="1.6640625" style="5" customWidth="1"/>
    <col min="4" max="4" width="3.44140625" style="5" customWidth="1"/>
    <col min="5" max="5" width="63" style="5" bestFit="1" customWidth="1"/>
    <col min="6" max="6" width="22" style="5" customWidth="1"/>
    <col min="7" max="7" width="14.33203125" style="5" customWidth="1"/>
    <col min="8" max="8" width="12.6640625" style="5" customWidth="1"/>
    <col min="9" max="9" width="34.88671875" style="5" customWidth="1"/>
    <col min="10" max="10" width="24.33203125" style="5" customWidth="1"/>
    <col min="11" max="11" width="27" style="5" customWidth="1"/>
    <col min="12" max="12" width="23.33203125" style="5" bestFit="1" customWidth="1"/>
    <col min="13" max="13" width="11.33203125" style="5" customWidth="1"/>
    <col min="14" max="14" width="19.6640625" style="5" customWidth="1"/>
    <col min="15" max="15" width="26.5546875" style="5" customWidth="1"/>
    <col min="16" max="16" width="19.6640625" style="5" customWidth="1"/>
    <col min="17" max="17" width="25.44140625" style="5" customWidth="1"/>
    <col min="18" max="18" width="69.5546875" style="37" customWidth="1"/>
    <col min="19" max="19" width="1.6640625" style="5" hidden="1" customWidth="1"/>
    <col min="20" max="20" width="1.6640625" style="39" hidden="1" customWidth="1"/>
    <col min="21" max="21" width="2.6640625" style="37" customWidth="1"/>
    <col min="22" max="16384" width="9.109375" style="5"/>
  </cols>
  <sheetData>
    <row r="1" spans="2:24" customFormat="1" ht="9.9" customHeight="1" x14ac:dyDescent="0.3">
      <c r="N1" s="28"/>
      <c r="O1" s="28"/>
      <c r="P1" s="28"/>
      <c r="Q1" s="61"/>
      <c r="R1" s="61"/>
      <c r="S1" s="28"/>
      <c r="T1" s="28"/>
      <c r="U1" s="28"/>
      <c r="V1" s="28"/>
      <c r="W1" s="28"/>
      <c r="X1" s="28"/>
    </row>
    <row r="2" spans="2:24" customFormat="1" ht="13.95" customHeigh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62"/>
      <c r="R2" s="62"/>
      <c r="S2" s="2"/>
      <c r="T2" s="29"/>
      <c r="U2" s="2"/>
    </row>
    <row r="3" spans="2:24" customFormat="1" ht="8.1" customHeight="1" x14ac:dyDescent="0.3">
      <c r="B3" s="3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62"/>
      <c r="R3" s="63"/>
      <c r="S3" s="2"/>
      <c r="T3" s="30"/>
      <c r="U3" s="3"/>
    </row>
    <row r="4" spans="2:24" s="18" customFormat="1" ht="50.4" x14ac:dyDescent="0.85">
      <c r="B4" s="16"/>
      <c r="C4" s="16"/>
      <c r="D4" s="17"/>
      <c r="E4" s="27"/>
      <c r="F4" s="27"/>
      <c r="G4" s="31"/>
      <c r="H4" s="27"/>
      <c r="I4" s="32"/>
      <c r="J4" s="32" t="s">
        <v>16</v>
      </c>
      <c r="K4" s="32"/>
      <c r="L4" s="27"/>
      <c r="M4" s="27"/>
      <c r="N4" s="27"/>
      <c r="O4" s="27"/>
      <c r="P4" s="27"/>
      <c r="Q4" s="33"/>
      <c r="R4" s="34"/>
      <c r="S4" s="35"/>
      <c r="T4" s="36"/>
      <c r="U4" s="16"/>
    </row>
    <row r="5" spans="2:24" ht="18" customHeight="1" x14ac:dyDescent="0.3">
      <c r="B5" s="4"/>
      <c r="C5" s="4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8"/>
      <c r="S5" s="37"/>
      <c r="U5" s="4"/>
    </row>
    <row r="6" spans="2:24" s="7" customFormat="1" ht="32.4" customHeight="1" x14ac:dyDescent="0.6">
      <c r="B6" s="6"/>
      <c r="C6" s="64" t="s">
        <v>25</v>
      </c>
      <c r="D6" s="65"/>
      <c r="E6" s="65"/>
      <c r="F6" s="40" t="s">
        <v>24</v>
      </c>
      <c r="G6" s="40"/>
      <c r="H6" s="40" t="s">
        <v>23</v>
      </c>
      <c r="I6" s="41"/>
      <c r="J6" s="41"/>
      <c r="K6" s="41"/>
      <c r="L6" s="41"/>
      <c r="M6" s="42"/>
      <c r="N6" s="42" t="s">
        <v>0</v>
      </c>
      <c r="O6" s="42"/>
      <c r="P6" s="42"/>
      <c r="Q6" s="43"/>
      <c r="R6" s="44" t="s">
        <v>22</v>
      </c>
      <c r="S6" s="45"/>
      <c r="T6" s="46"/>
      <c r="U6" s="6"/>
    </row>
    <row r="7" spans="2:24" ht="18" customHeight="1" x14ac:dyDescent="0.3">
      <c r="B7" s="4"/>
      <c r="C7" s="8"/>
      <c r="D7" s="9"/>
      <c r="E7" s="9"/>
      <c r="F7" s="10"/>
      <c r="G7" s="10"/>
      <c r="H7" s="10"/>
      <c r="I7" s="10"/>
      <c r="J7" s="10"/>
      <c r="K7" s="11"/>
      <c r="L7" s="11"/>
      <c r="M7" s="10"/>
      <c r="N7" s="11"/>
      <c r="O7" s="11"/>
      <c r="P7" s="10"/>
      <c r="Q7" s="11"/>
      <c r="R7" s="47"/>
      <c r="S7" s="10"/>
      <c r="U7" s="4"/>
    </row>
    <row r="8" spans="2:24" ht="18" customHeight="1" x14ac:dyDescent="0.3">
      <c r="B8" s="4"/>
      <c r="C8" s="37"/>
      <c r="D8" s="48"/>
      <c r="E8" s="48"/>
      <c r="F8" s="37"/>
      <c r="G8" s="37"/>
      <c r="H8" s="37"/>
      <c r="I8" s="37"/>
      <c r="J8" s="37"/>
      <c r="K8" s="49"/>
      <c r="L8" s="49"/>
      <c r="M8" s="37"/>
      <c r="N8" s="49"/>
      <c r="O8" s="49"/>
      <c r="P8" s="37"/>
      <c r="Q8" s="49"/>
      <c r="R8" s="47"/>
      <c r="S8" s="37"/>
      <c r="U8" s="4"/>
    </row>
    <row r="9" spans="2:24" ht="32.4" customHeight="1" x14ac:dyDescent="0.3">
      <c r="B9" s="4"/>
      <c r="C9" s="69" t="s">
        <v>1</v>
      </c>
      <c r="D9" s="69"/>
      <c r="E9" s="70" t="s">
        <v>2</v>
      </c>
      <c r="F9" s="72" t="s">
        <v>3</v>
      </c>
      <c r="G9" s="72" t="s">
        <v>4</v>
      </c>
      <c r="H9" s="72" t="s">
        <v>5</v>
      </c>
      <c r="I9" s="15" t="s">
        <v>6</v>
      </c>
      <c r="J9" s="15" t="s">
        <v>7</v>
      </c>
      <c r="K9" s="15" t="s">
        <v>8</v>
      </c>
      <c r="L9" s="15" t="s">
        <v>9</v>
      </c>
      <c r="M9" s="72" t="s">
        <v>13</v>
      </c>
      <c r="N9" s="74" t="s">
        <v>10</v>
      </c>
      <c r="O9" s="74" t="s">
        <v>14</v>
      </c>
      <c r="P9" s="74" t="s">
        <v>11</v>
      </c>
      <c r="Q9" s="76" t="s">
        <v>15</v>
      </c>
      <c r="R9" s="78" t="s">
        <v>12</v>
      </c>
      <c r="S9" s="78"/>
      <c r="T9" s="50"/>
      <c r="U9" s="4"/>
    </row>
    <row r="10" spans="2:24" ht="62.4" customHeight="1" x14ac:dyDescent="0.3">
      <c r="B10" s="4"/>
      <c r="C10" s="69"/>
      <c r="D10" s="69"/>
      <c r="E10" s="71"/>
      <c r="F10" s="73"/>
      <c r="G10" s="73"/>
      <c r="H10" s="73"/>
      <c r="I10" s="15" t="s">
        <v>18</v>
      </c>
      <c r="J10" s="51" t="s">
        <v>19</v>
      </c>
      <c r="K10" s="51" t="s">
        <v>20</v>
      </c>
      <c r="L10" s="51" t="s">
        <v>21</v>
      </c>
      <c r="M10" s="73"/>
      <c r="N10" s="75"/>
      <c r="O10" s="75"/>
      <c r="P10" s="75"/>
      <c r="Q10" s="77"/>
      <c r="R10" s="78"/>
      <c r="S10" s="78"/>
      <c r="T10" s="50"/>
      <c r="U10" s="4"/>
    </row>
    <row r="11" spans="2:24" ht="35.1" customHeight="1" x14ac:dyDescent="0.3">
      <c r="B11" s="4"/>
      <c r="C11" s="66">
        <v>1</v>
      </c>
      <c r="D11" s="67"/>
      <c r="E11" s="19"/>
      <c r="F11" s="59"/>
      <c r="G11" s="23"/>
      <c r="H11" s="23"/>
      <c r="I11" s="20"/>
      <c r="J11" s="20"/>
      <c r="K11" s="20"/>
      <c r="L11" s="20"/>
      <c r="M11" s="23"/>
      <c r="N11" s="21" t="str">
        <f>IF(G11="","-",IF(SUM(G11:L11)=0,´´-´´,SMALL(H11:L11,1)))</f>
        <v>-</v>
      </c>
      <c r="O11" s="22" t="str">
        <f t="shared" ref="O11:O53" si="0">IFERROR(IF(G11="","-",N11*G11),"")</f>
        <v>-</v>
      </c>
      <c r="P11" s="22"/>
      <c r="Q11" s="52" t="str">
        <f t="shared" ref="Q11:Q53" si="1">IF(P11="","",(P11*G11))</f>
        <v/>
      </c>
      <c r="R11" s="68"/>
      <c r="S11" s="68"/>
      <c r="T11" s="50"/>
      <c r="U11" s="4"/>
    </row>
    <row r="12" spans="2:24" ht="35.1" customHeight="1" x14ac:dyDescent="0.3">
      <c r="B12" s="4"/>
      <c r="C12" s="66">
        <v>2</v>
      </c>
      <c r="D12" s="67"/>
      <c r="E12" s="19"/>
      <c r="F12" s="59"/>
      <c r="G12" s="59"/>
      <c r="H12" s="59"/>
      <c r="I12" s="20"/>
      <c r="J12" s="20"/>
      <c r="K12" s="20"/>
      <c r="L12" s="20"/>
      <c r="M12" s="58"/>
      <c r="N12" s="21" t="str">
        <f>IF(G12="","-",IF(SUM(G12:L12)=0,´´-´´,SMALL(H12:L12,1)))</f>
        <v>-</v>
      </c>
      <c r="O12" s="22" t="str">
        <f t="shared" si="0"/>
        <v>-</v>
      </c>
      <c r="P12" s="22"/>
      <c r="Q12" s="52" t="str">
        <f t="shared" si="1"/>
        <v/>
      </c>
      <c r="R12" s="66"/>
      <c r="S12" s="67"/>
      <c r="T12" s="50"/>
      <c r="U12" s="4"/>
    </row>
    <row r="13" spans="2:24" ht="35.1" customHeight="1" x14ac:dyDescent="0.3">
      <c r="B13" s="4"/>
      <c r="C13" s="66">
        <v>3</v>
      </c>
      <c r="D13" s="67"/>
      <c r="E13" s="19"/>
      <c r="F13" s="59"/>
      <c r="G13" s="59"/>
      <c r="H13" s="59"/>
      <c r="I13" s="20"/>
      <c r="J13" s="20"/>
      <c r="K13" s="20"/>
      <c r="L13" s="20"/>
      <c r="M13" s="23"/>
      <c r="N13" s="21" t="str">
        <f>IF(G13="","-",IF(SUM(G13:L13)=0,´´-´´,SMALL(H13:L13,1)))</f>
        <v>-</v>
      </c>
      <c r="O13" s="22" t="str">
        <f t="shared" si="0"/>
        <v>-</v>
      </c>
      <c r="P13" s="22"/>
      <c r="Q13" s="52" t="str">
        <f t="shared" si="1"/>
        <v/>
      </c>
      <c r="R13" s="68"/>
      <c r="S13" s="68"/>
      <c r="T13" s="50"/>
      <c r="U13" s="4"/>
    </row>
    <row r="14" spans="2:24" ht="35.1" customHeight="1" x14ac:dyDescent="0.3">
      <c r="B14" s="4"/>
      <c r="C14" s="66">
        <v>4</v>
      </c>
      <c r="D14" s="67"/>
      <c r="E14" s="19"/>
      <c r="F14" s="59"/>
      <c r="G14" s="59"/>
      <c r="H14" s="59"/>
      <c r="I14" s="20"/>
      <c r="J14" s="20"/>
      <c r="K14" s="20"/>
      <c r="L14" s="20"/>
      <c r="M14" s="58"/>
      <c r="N14" s="21" t="str">
        <f>IF(G14="","-",IF(SUM(G14:L14)=0,´´-´´,SMALL(H14:L14,1)))</f>
        <v>-</v>
      </c>
      <c r="O14" s="22" t="str">
        <f t="shared" si="0"/>
        <v>-</v>
      </c>
      <c r="P14" s="22"/>
      <c r="Q14" s="52" t="str">
        <f t="shared" si="1"/>
        <v/>
      </c>
      <c r="R14" s="68"/>
      <c r="S14" s="68"/>
      <c r="T14" s="50"/>
      <c r="U14" s="4"/>
    </row>
    <row r="15" spans="2:24" ht="35.1" customHeight="1" x14ac:dyDescent="0.3">
      <c r="B15" s="4"/>
      <c r="C15" s="66">
        <v>5</v>
      </c>
      <c r="D15" s="67"/>
      <c r="E15" s="19"/>
      <c r="F15" s="59"/>
      <c r="G15" s="59"/>
      <c r="H15" s="59"/>
      <c r="I15" s="20"/>
      <c r="J15" s="20"/>
      <c r="K15" s="20"/>
      <c r="L15" s="20"/>
      <c r="M15" s="58"/>
      <c r="N15" s="21" t="str">
        <f>IF(G15="","-",IF(SUM(G15:L15)=0,´´-´´,SMALL(H15:L15,1)))</f>
        <v>-</v>
      </c>
      <c r="O15" s="22" t="str">
        <f t="shared" si="0"/>
        <v>-</v>
      </c>
      <c r="P15" s="22"/>
      <c r="Q15" s="52" t="str">
        <f t="shared" si="1"/>
        <v/>
      </c>
      <c r="R15" s="68"/>
      <c r="S15" s="68"/>
      <c r="T15" s="50"/>
      <c r="U15" s="4"/>
    </row>
    <row r="16" spans="2:24" ht="35.1" customHeight="1" x14ac:dyDescent="0.3">
      <c r="B16" s="4"/>
      <c r="C16" s="66">
        <v>6</v>
      </c>
      <c r="D16" s="67"/>
      <c r="E16" s="19"/>
      <c r="F16" s="59"/>
      <c r="G16" s="59"/>
      <c r="H16" s="59"/>
      <c r="I16" s="20"/>
      <c r="J16" s="20"/>
      <c r="K16" s="20"/>
      <c r="L16" s="20"/>
      <c r="M16" s="23"/>
      <c r="N16" s="21" t="str">
        <f>IF(G16="","-",IF(SUM(G16:L16)=0,´´-´´,SMALL(H16:L16,1)))</f>
        <v>-</v>
      </c>
      <c r="O16" s="22" t="str">
        <f t="shared" si="0"/>
        <v>-</v>
      </c>
      <c r="P16" s="22"/>
      <c r="Q16" s="52" t="str">
        <f>IF(P16="","",(P16*G16))</f>
        <v/>
      </c>
      <c r="R16" s="68"/>
      <c r="S16" s="68"/>
      <c r="T16" s="50"/>
      <c r="U16" s="4"/>
    </row>
    <row r="17" spans="2:21" ht="35.1" customHeight="1" x14ac:dyDescent="0.3">
      <c r="B17" s="4"/>
      <c r="C17" s="66">
        <v>7</v>
      </c>
      <c r="D17" s="67"/>
      <c r="E17" s="19"/>
      <c r="F17" s="60"/>
      <c r="G17" s="60"/>
      <c r="H17" s="60"/>
      <c r="I17" s="20"/>
      <c r="J17" s="20"/>
      <c r="K17" s="20"/>
      <c r="L17" s="20"/>
      <c r="M17" s="60"/>
      <c r="N17" s="21" t="str">
        <f>IF(G17="","-",IF(SUM(G17:L17)=0,´´-´´,SMALL(H17:L17,1)))</f>
        <v>-</v>
      </c>
      <c r="O17" s="22" t="str">
        <f t="shared" ref="O17:O32" si="2">IFERROR(IF(G17="","-",N17*G17),"")</f>
        <v>-</v>
      </c>
      <c r="P17" s="22"/>
      <c r="Q17" s="52" t="str">
        <f t="shared" ref="Q17:Q32" si="3">IF(P17="","",(P17*G17))</f>
        <v/>
      </c>
      <c r="R17" s="68"/>
      <c r="S17" s="68"/>
      <c r="T17" s="50"/>
      <c r="U17" s="4"/>
    </row>
    <row r="18" spans="2:21" ht="35.1" customHeight="1" x14ac:dyDescent="0.3">
      <c r="B18" s="4"/>
      <c r="C18" s="66">
        <v>8</v>
      </c>
      <c r="D18" s="67"/>
      <c r="E18" s="19"/>
      <c r="F18" s="60"/>
      <c r="G18" s="60"/>
      <c r="H18" s="60"/>
      <c r="I18" s="20"/>
      <c r="J18" s="20"/>
      <c r="K18" s="20"/>
      <c r="L18" s="20"/>
      <c r="M18" s="60"/>
      <c r="N18" s="21" t="str">
        <f>IF(G18="","-",IF(SUM(G18:L18)=0,´´-´´,SMALL(H18:L18,1)))</f>
        <v>-</v>
      </c>
      <c r="O18" s="22" t="str">
        <f t="shared" si="2"/>
        <v>-</v>
      </c>
      <c r="P18" s="22"/>
      <c r="Q18" s="52" t="str">
        <f t="shared" si="3"/>
        <v/>
      </c>
      <c r="R18" s="68"/>
      <c r="S18" s="68"/>
      <c r="T18" s="50"/>
      <c r="U18" s="4"/>
    </row>
    <row r="19" spans="2:21" ht="35.1" customHeight="1" x14ac:dyDescent="0.3">
      <c r="B19" s="4"/>
      <c r="C19" s="66">
        <v>9</v>
      </c>
      <c r="D19" s="67"/>
      <c r="E19" s="19"/>
      <c r="F19" s="60"/>
      <c r="G19" s="60"/>
      <c r="H19" s="60"/>
      <c r="I19" s="20"/>
      <c r="J19" s="20"/>
      <c r="K19" s="20"/>
      <c r="L19" s="20"/>
      <c r="M19" s="60"/>
      <c r="N19" s="21" t="str">
        <f>IF(G19="","-",IF(SUM(G19:L19)=0,´´-´´,SMALL(H19:L19,1)))</f>
        <v>-</v>
      </c>
      <c r="O19" s="22" t="str">
        <f t="shared" si="2"/>
        <v>-</v>
      </c>
      <c r="P19" s="22"/>
      <c r="Q19" s="52" t="str">
        <f t="shared" si="3"/>
        <v/>
      </c>
      <c r="R19" s="68"/>
      <c r="S19" s="68"/>
      <c r="T19" s="50"/>
      <c r="U19" s="4"/>
    </row>
    <row r="20" spans="2:21" ht="35.1" customHeight="1" x14ac:dyDescent="0.3">
      <c r="B20" s="4"/>
      <c r="C20" s="66">
        <v>10</v>
      </c>
      <c r="D20" s="67"/>
      <c r="E20" s="19"/>
      <c r="F20" s="60"/>
      <c r="G20" s="60"/>
      <c r="H20" s="60"/>
      <c r="I20" s="20"/>
      <c r="J20" s="20"/>
      <c r="K20" s="20"/>
      <c r="L20" s="20"/>
      <c r="M20" s="60"/>
      <c r="N20" s="21" t="str">
        <f>IF(G20="","-",IF(SUM(G20:L20)=0,´´-´´,SMALL(H20:L20,1)))</f>
        <v>-</v>
      </c>
      <c r="O20" s="22" t="str">
        <f t="shared" si="2"/>
        <v>-</v>
      </c>
      <c r="P20" s="22"/>
      <c r="Q20" s="52" t="str">
        <f t="shared" si="3"/>
        <v/>
      </c>
      <c r="R20" s="68"/>
      <c r="S20" s="68"/>
      <c r="T20" s="50"/>
      <c r="U20" s="4"/>
    </row>
    <row r="21" spans="2:21" ht="35.1" customHeight="1" x14ac:dyDescent="0.3">
      <c r="B21" s="4"/>
      <c r="C21" s="66">
        <v>11</v>
      </c>
      <c r="D21" s="67"/>
      <c r="E21" s="19"/>
      <c r="F21" s="60"/>
      <c r="G21" s="60"/>
      <c r="H21" s="60"/>
      <c r="I21" s="20"/>
      <c r="J21" s="20"/>
      <c r="K21" s="20"/>
      <c r="L21" s="20"/>
      <c r="M21" s="60"/>
      <c r="N21" s="21" t="str">
        <f>IF(G21="","-",IF(SUM(G21:L21)=0,´´-´´,SMALL(H21:L21,1)))</f>
        <v>-</v>
      </c>
      <c r="O21" s="22" t="str">
        <f t="shared" si="2"/>
        <v>-</v>
      </c>
      <c r="P21" s="22"/>
      <c r="Q21" s="52" t="str">
        <f t="shared" si="3"/>
        <v/>
      </c>
      <c r="R21" s="68"/>
      <c r="S21" s="68"/>
      <c r="T21" s="50"/>
      <c r="U21" s="4"/>
    </row>
    <row r="22" spans="2:21" ht="35.1" customHeight="1" x14ac:dyDescent="0.3">
      <c r="B22" s="4"/>
      <c r="C22" s="66">
        <v>12</v>
      </c>
      <c r="D22" s="67"/>
      <c r="E22" s="19"/>
      <c r="F22" s="60"/>
      <c r="G22" s="60"/>
      <c r="H22" s="60"/>
      <c r="I22" s="20"/>
      <c r="J22" s="20"/>
      <c r="K22" s="20"/>
      <c r="L22" s="20"/>
      <c r="M22" s="60"/>
      <c r="N22" s="21" t="str">
        <f>IF(G22="","-",IF(SUM(G22:L22)=0,´´-´´,SMALL(H22:L22,1)))</f>
        <v>-</v>
      </c>
      <c r="O22" s="22" t="str">
        <f t="shared" si="2"/>
        <v>-</v>
      </c>
      <c r="P22" s="22"/>
      <c r="Q22" s="52" t="str">
        <f t="shared" si="3"/>
        <v/>
      </c>
      <c r="R22" s="68"/>
      <c r="S22" s="68"/>
      <c r="T22" s="50"/>
      <c r="U22" s="4"/>
    </row>
    <row r="23" spans="2:21" ht="35.1" customHeight="1" x14ac:dyDescent="0.3">
      <c r="B23" s="4"/>
      <c r="C23" s="66">
        <v>13</v>
      </c>
      <c r="D23" s="67"/>
      <c r="E23" s="19"/>
      <c r="F23" s="60"/>
      <c r="G23" s="60"/>
      <c r="H23" s="60"/>
      <c r="I23" s="20"/>
      <c r="J23" s="20"/>
      <c r="K23" s="20"/>
      <c r="L23" s="20"/>
      <c r="M23" s="60"/>
      <c r="N23" s="21" t="str">
        <f>IF(G23="","-",IF(SUM(G23:L23)=0,´´-´´,SMALL(H23:L23,1)))</f>
        <v>-</v>
      </c>
      <c r="O23" s="22" t="str">
        <f t="shared" si="2"/>
        <v>-</v>
      </c>
      <c r="P23" s="22"/>
      <c r="Q23" s="52" t="str">
        <f t="shared" si="3"/>
        <v/>
      </c>
      <c r="R23" s="68"/>
      <c r="S23" s="68"/>
      <c r="T23" s="50"/>
      <c r="U23" s="4"/>
    </row>
    <row r="24" spans="2:21" ht="35.1" customHeight="1" x14ac:dyDescent="0.3">
      <c r="B24" s="4"/>
      <c r="C24" s="66">
        <v>14</v>
      </c>
      <c r="D24" s="67"/>
      <c r="E24" s="19"/>
      <c r="F24" s="60"/>
      <c r="G24" s="60"/>
      <c r="H24" s="60"/>
      <c r="I24" s="20"/>
      <c r="J24" s="20"/>
      <c r="K24" s="20"/>
      <c r="L24" s="20"/>
      <c r="M24" s="60"/>
      <c r="N24" s="21" t="str">
        <f>IF(G24="","-",IF(SUM(G24:L24)=0,´´-´´,SMALL(H24:L24,1)))</f>
        <v>-</v>
      </c>
      <c r="O24" s="22" t="str">
        <f t="shared" si="2"/>
        <v>-</v>
      </c>
      <c r="P24" s="22"/>
      <c r="Q24" s="52" t="str">
        <f t="shared" si="3"/>
        <v/>
      </c>
      <c r="R24" s="68"/>
      <c r="S24" s="68"/>
      <c r="T24" s="50"/>
      <c r="U24" s="4"/>
    </row>
    <row r="25" spans="2:21" ht="35.1" customHeight="1" x14ac:dyDescent="0.3">
      <c r="B25" s="4"/>
      <c r="C25" s="66">
        <v>15</v>
      </c>
      <c r="D25" s="67"/>
      <c r="E25" s="19"/>
      <c r="F25" s="60"/>
      <c r="G25" s="60"/>
      <c r="H25" s="60"/>
      <c r="I25" s="20"/>
      <c r="J25" s="20"/>
      <c r="K25" s="20"/>
      <c r="L25" s="20"/>
      <c r="M25" s="60"/>
      <c r="N25" s="21" t="str">
        <f>IF(G25="","-",IF(SUM(G25:L25)=0,´´-´´,SMALL(H25:L25,1)))</f>
        <v>-</v>
      </c>
      <c r="O25" s="22" t="str">
        <f t="shared" si="2"/>
        <v>-</v>
      </c>
      <c r="P25" s="22"/>
      <c r="Q25" s="52" t="str">
        <f t="shared" si="3"/>
        <v/>
      </c>
      <c r="R25" s="68"/>
      <c r="S25" s="68"/>
      <c r="T25" s="50"/>
      <c r="U25" s="4"/>
    </row>
    <row r="26" spans="2:21" ht="35.1" customHeight="1" x14ac:dyDescent="0.3">
      <c r="B26" s="4"/>
      <c r="C26" s="66">
        <v>16</v>
      </c>
      <c r="D26" s="67"/>
      <c r="E26" s="19"/>
      <c r="F26" s="60"/>
      <c r="G26" s="60"/>
      <c r="H26" s="60"/>
      <c r="I26" s="20"/>
      <c r="J26" s="20"/>
      <c r="K26" s="20"/>
      <c r="L26" s="20"/>
      <c r="M26" s="60"/>
      <c r="N26" s="21" t="str">
        <f>IF(G26="","-",IF(SUM(G26:L26)=0,´´-´´,SMALL(H26:L26,1)))</f>
        <v>-</v>
      </c>
      <c r="O26" s="22" t="str">
        <f t="shared" si="2"/>
        <v>-</v>
      </c>
      <c r="P26" s="22"/>
      <c r="Q26" s="52" t="str">
        <f t="shared" si="3"/>
        <v/>
      </c>
      <c r="R26" s="68"/>
      <c r="S26" s="68"/>
      <c r="T26" s="50"/>
      <c r="U26" s="4"/>
    </row>
    <row r="27" spans="2:21" ht="35.1" customHeight="1" x14ac:dyDescent="0.3">
      <c r="B27" s="4"/>
      <c r="C27" s="66">
        <v>17</v>
      </c>
      <c r="D27" s="67"/>
      <c r="E27" s="19"/>
      <c r="F27" s="60"/>
      <c r="G27" s="60"/>
      <c r="H27" s="60"/>
      <c r="I27" s="20"/>
      <c r="J27" s="20"/>
      <c r="K27" s="20"/>
      <c r="L27" s="20"/>
      <c r="M27" s="60"/>
      <c r="N27" s="21" t="str">
        <f>IF(G27="","-",IF(SUM(G27:L27)=0,´´-´´,SMALL(H27:L27,1)))</f>
        <v>-</v>
      </c>
      <c r="O27" s="22" t="str">
        <f t="shared" si="2"/>
        <v>-</v>
      </c>
      <c r="P27" s="22"/>
      <c r="Q27" s="52" t="str">
        <f t="shared" si="3"/>
        <v/>
      </c>
      <c r="R27" s="68"/>
      <c r="S27" s="68"/>
      <c r="T27" s="50"/>
      <c r="U27" s="4"/>
    </row>
    <row r="28" spans="2:21" ht="35.1" customHeight="1" x14ac:dyDescent="0.3">
      <c r="B28" s="4"/>
      <c r="C28" s="66">
        <v>18</v>
      </c>
      <c r="D28" s="67"/>
      <c r="E28" s="19"/>
      <c r="F28" s="60"/>
      <c r="G28" s="60"/>
      <c r="H28" s="60"/>
      <c r="I28" s="20"/>
      <c r="J28" s="20"/>
      <c r="K28" s="20"/>
      <c r="L28" s="20"/>
      <c r="M28" s="60"/>
      <c r="N28" s="21" t="str">
        <f>IF(G28="","-",IF(SUM(G28:L28)=0,´´-´´,SMALL(H28:L28,1)))</f>
        <v>-</v>
      </c>
      <c r="O28" s="22" t="str">
        <f t="shared" si="2"/>
        <v>-</v>
      </c>
      <c r="P28" s="22"/>
      <c r="Q28" s="52" t="str">
        <f t="shared" si="3"/>
        <v/>
      </c>
      <c r="R28" s="68"/>
      <c r="S28" s="68"/>
      <c r="T28" s="50"/>
      <c r="U28" s="4"/>
    </row>
    <row r="29" spans="2:21" ht="35.1" customHeight="1" x14ac:dyDescent="0.3">
      <c r="B29" s="4"/>
      <c r="C29" s="66">
        <v>19</v>
      </c>
      <c r="D29" s="67"/>
      <c r="E29" s="19"/>
      <c r="F29" s="60"/>
      <c r="G29" s="60"/>
      <c r="H29" s="60"/>
      <c r="I29" s="20"/>
      <c r="J29" s="20"/>
      <c r="K29" s="20"/>
      <c r="L29" s="20"/>
      <c r="M29" s="60"/>
      <c r="N29" s="21" t="str">
        <f>IF(G29="","-",IF(SUM(G29:L29)=0,´´-´´,SMALL(H29:L29,1)))</f>
        <v>-</v>
      </c>
      <c r="O29" s="22" t="str">
        <f t="shared" si="2"/>
        <v>-</v>
      </c>
      <c r="P29" s="22"/>
      <c r="Q29" s="52" t="str">
        <f t="shared" si="3"/>
        <v/>
      </c>
      <c r="R29" s="68"/>
      <c r="S29" s="68"/>
      <c r="T29" s="50"/>
      <c r="U29" s="4"/>
    </row>
    <row r="30" spans="2:21" ht="35.1" customHeight="1" x14ac:dyDescent="0.3">
      <c r="B30" s="4"/>
      <c r="C30" s="66">
        <v>20</v>
      </c>
      <c r="D30" s="67"/>
      <c r="E30" s="19"/>
      <c r="F30" s="60"/>
      <c r="G30" s="60"/>
      <c r="H30" s="60"/>
      <c r="I30" s="20"/>
      <c r="J30" s="20"/>
      <c r="K30" s="20"/>
      <c r="L30" s="20"/>
      <c r="M30" s="60"/>
      <c r="N30" s="21" t="str">
        <f>IF(G30="","-",IF(SUM(G30:L30)=0,´´-´´,SMALL(H30:L30,1)))</f>
        <v>-</v>
      </c>
      <c r="O30" s="22" t="str">
        <f t="shared" si="2"/>
        <v>-</v>
      </c>
      <c r="P30" s="22"/>
      <c r="Q30" s="52" t="str">
        <f t="shared" si="3"/>
        <v/>
      </c>
      <c r="R30" s="68"/>
      <c r="S30" s="68"/>
      <c r="T30" s="50"/>
      <c r="U30" s="4"/>
    </row>
    <row r="31" spans="2:21" ht="35.1" customHeight="1" x14ac:dyDescent="0.3">
      <c r="B31" s="4"/>
      <c r="C31" s="66">
        <v>21</v>
      </c>
      <c r="D31" s="67"/>
      <c r="E31" s="19"/>
      <c r="F31" s="60"/>
      <c r="G31" s="60"/>
      <c r="H31" s="60"/>
      <c r="I31" s="20"/>
      <c r="J31" s="20"/>
      <c r="K31" s="20"/>
      <c r="L31" s="20"/>
      <c r="M31" s="60"/>
      <c r="N31" s="21" t="str">
        <f>IF(G31="","-",IF(SUM(G31:L31)=0,´´-´´,SMALL(H31:L31,1)))</f>
        <v>-</v>
      </c>
      <c r="O31" s="22" t="str">
        <f t="shared" si="2"/>
        <v>-</v>
      </c>
      <c r="P31" s="22"/>
      <c r="Q31" s="52" t="str">
        <f t="shared" si="3"/>
        <v/>
      </c>
      <c r="R31" s="68"/>
      <c r="S31" s="68"/>
      <c r="T31" s="50"/>
      <c r="U31" s="4"/>
    </row>
    <row r="32" spans="2:21" ht="35.1" customHeight="1" x14ac:dyDescent="0.3">
      <c r="B32" s="4"/>
      <c r="C32" s="66">
        <v>22</v>
      </c>
      <c r="D32" s="67"/>
      <c r="E32" s="19"/>
      <c r="F32" s="60"/>
      <c r="G32" s="60"/>
      <c r="H32" s="60"/>
      <c r="I32" s="20"/>
      <c r="J32" s="20"/>
      <c r="K32" s="20"/>
      <c r="L32" s="20"/>
      <c r="M32" s="60"/>
      <c r="N32" s="21" t="str">
        <f>IF(G32="","-",IF(SUM(G32:L32)=0,´´-´´,SMALL(H32:L32,1)))</f>
        <v>-</v>
      </c>
      <c r="O32" s="22" t="str">
        <f t="shared" si="2"/>
        <v>-</v>
      </c>
      <c r="P32" s="22"/>
      <c r="Q32" s="52" t="str">
        <f t="shared" si="3"/>
        <v/>
      </c>
      <c r="R32" s="68"/>
      <c r="S32" s="68"/>
      <c r="T32" s="50"/>
      <c r="U32" s="4"/>
    </row>
    <row r="33" spans="2:21" ht="35.1" customHeight="1" x14ac:dyDescent="0.3">
      <c r="B33" s="4"/>
      <c r="C33" s="66">
        <v>23</v>
      </c>
      <c r="D33" s="67"/>
      <c r="E33" s="19"/>
      <c r="F33" s="60"/>
      <c r="G33" s="60"/>
      <c r="H33" s="60"/>
      <c r="I33" s="20"/>
      <c r="J33" s="20"/>
      <c r="K33" s="20"/>
      <c r="L33" s="20"/>
      <c r="M33" s="60"/>
      <c r="N33" s="21" t="str">
        <f>IF(G33="","-",IF(SUM(G33:L33)=0,´´-´´,SMALL(H33:L33,1)))</f>
        <v>-</v>
      </c>
      <c r="O33" s="22" t="str">
        <f t="shared" si="0"/>
        <v>-</v>
      </c>
      <c r="P33" s="22"/>
      <c r="Q33" s="52" t="str">
        <f t="shared" ref="Q33" si="4">IF(P33="","",(P33*G33))</f>
        <v/>
      </c>
      <c r="R33" s="68"/>
      <c r="S33" s="68"/>
      <c r="T33" s="50"/>
      <c r="U33" s="4"/>
    </row>
    <row r="34" spans="2:21" ht="35.1" customHeight="1" x14ac:dyDescent="0.3">
      <c r="B34" s="4"/>
      <c r="C34" s="66">
        <v>24</v>
      </c>
      <c r="D34" s="67"/>
      <c r="E34" s="19"/>
      <c r="F34" s="60"/>
      <c r="G34" s="60"/>
      <c r="H34" s="60"/>
      <c r="I34" s="20"/>
      <c r="J34" s="20"/>
      <c r="K34" s="20"/>
      <c r="L34" s="20"/>
      <c r="M34" s="60"/>
      <c r="N34" s="21" t="str">
        <f>IF(G34="","-",IF(SUM(G34:L34)=0,´´-´´,SMALL(H34:L34,1)))</f>
        <v>-</v>
      </c>
      <c r="O34" s="22" t="str">
        <f t="shared" ref="O34:O37" si="5">IFERROR(IF(G34="","-",N34*G34),"")</f>
        <v>-</v>
      </c>
      <c r="P34" s="22"/>
      <c r="Q34" s="52" t="str">
        <f t="shared" ref="Q34:Q37" si="6">IF(P34="","",(P34*G34))</f>
        <v/>
      </c>
      <c r="R34" s="68"/>
      <c r="S34" s="68"/>
      <c r="T34" s="50"/>
      <c r="U34" s="4"/>
    </row>
    <row r="35" spans="2:21" ht="35.1" customHeight="1" x14ac:dyDescent="0.3">
      <c r="B35" s="4"/>
      <c r="C35" s="66">
        <v>25</v>
      </c>
      <c r="D35" s="67"/>
      <c r="E35" s="19"/>
      <c r="F35" s="60"/>
      <c r="G35" s="60"/>
      <c r="H35" s="60"/>
      <c r="I35" s="20"/>
      <c r="J35" s="20"/>
      <c r="K35" s="20"/>
      <c r="L35" s="20"/>
      <c r="M35" s="60"/>
      <c r="N35" s="21" t="str">
        <f>IF(G35="","-",IF(SUM(G35:L35)=0,´´-´´,SMALL(H35:L35,1)))</f>
        <v>-</v>
      </c>
      <c r="O35" s="22" t="str">
        <f t="shared" si="5"/>
        <v>-</v>
      </c>
      <c r="P35" s="22"/>
      <c r="Q35" s="52" t="str">
        <f t="shared" si="6"/>
        <v/>
      </c>
      <c r="R35" s="68"/>
      <c r="S35" s="68"/>
      <c r="T35" s="50"/>
      <c r="U35" s="4"/>
    </row>
    <row r="36" spans="2:21" ht="35.1" customHeight="1" x14ac:dyDescent="0.3">
      <c r="B36" s="4"/>
      <c r="C36" s="66">
        <v>26</v>
      </c>
      <c r="D36" s="67"/>
      <c r="E36" s="19"/>
      <c r="F36" s="60"/>
      <c r="G36" s="60"/>
      <c r="H36" s="60"/>
      <c r="I36" s="20"/>
      <c r="J36" s="20"/>
      <c r="K36" s="20"/>
      <c r="L36" s="20"/>
      <c r="M36" s="60"/>
      <c r="N36" s="21" t="str">
        <f>IF(G36="","-",IF(SUM(G36:L36)=0,´´-´´,SMALL(H36:L36,1)))</f>
        <v>-</v>
      </c>
      <c r="O36" s="22" t="str">
        <f t="shared" si="5"/>
        <v>-</v>
      </c>
      <c r="P36" s="22"/>
      <c r="Q36" s="52" t="str">
        <f t="shared" si="6"/>
        <v/>
      </c>
      <c r="R36" s="68"/>
      <c r="S36" s="68"/>
      <c r="T36" s="50"/>
      <c r="U36" s="4"/>
    </row>
    <row r="37" spans="2:21" ht="35.1" customHeight="1" x14ac:dyDescent="0.3">
      <c r="B37" s="4"/>
      <c r="C37" s="66">
        <v>27</v>
      </c>
      <c r="D37" s="67"/>
      <c r="E37" s="19"/>
      <c r="F37" s="60"/>
      <c r="G37" s="60"/>
      <c r="H37" s="60"/>
      <c r="I37" s="20"/>
      <c r="J37" s="20"/>
      <c r="K37" s="20"/>
      <c r="L37" s="20"/>
      <c r="M37" s="60"/>
      <c r="N37" s="21" t="str">
        <f>IF(G37="","-",IF(SUM(G37:L37)=0,´´-´´,SMALL(H37:L37,1)))</f>
        <v>-</v>
      </c>
      <c r="O37" s="22" t="str">
        <f t="shared" si="5"/>
        <v>-</v>
      </c>
      <c r="P37" s="22"/>
      <c r="Q37" s="52" t="str">
        <f t="shared" si="6"/>
        <v/>
      </c>
      <c r="R37" s="68"/>
      <c r="S37" s="68"/>
      <c r="T37" s="50"/>
      <c r="U37" s="4"/>
    </row>
    <row r="38" spans="2:21" ht="35.1" customHeight="1" x14ac:dyDescent="0.3">
      <c r="B38" s="4"/>
      <c r="C38" s="66">
        <v>28</v>
      </c>
      <c r="D38" s="67"/>
      <c r="E38" s="19"/>
      <c r="F38" s="60"/>
      <c r="G38" s="60"/>
      <c r="H38" s="60"/>
      <c r="I38" s="20"/>
      <c r="J38" s="20"/>
      <c r="K38" s="20"/>
      <c r="L38" s="20"/>
      <c r="M38" s="60"/>
      <c r="N38" s="21" t="str">
        <f>IF(G38="","-",IF(SUM(G38:L38)=0,´´-´´,SMALL(H38:L38,1)))</f>
        <v>-</v>
      </c>
      <c r="O38" s="22" t="str">
        <f t="shared" si="0"/>
        <v>-</v>
      </c>
      <c r="P38" s="22"/>
      <c r="Q38" s="52" t="str">
        <f t="shared" ref="Q38" si="7">IF(P38="","",(P38*G38))</f>
        <v/>
      </c>
      <c r="R38" s="68"/>
      <c r="S38" s="68"/>
      <c r="T38" s="50"/>
      <c r="U38" s="4"/>
    </row>
    <row r="39" spans="2:21" ht="34.799999999999997" hidden="1" customHeight="1" x14ac:dyDescent="0.3">
      <c r="B39" s="4"/>
      <c r="C39" s="66">
        <v>29</v>
      </c>
      <c r="D39" s="67"/>
      <c r="E39" s="19"/>
      <c r="F39" s="60"/>
      <c r="G39" s="60"/>
      <c r="H39" s="60"/>
      <c r="I39" s="20"/>
      <c r="J39" s="20"/>
      <c r="K39" s="20"/>
      <c r="L39" s="20"/>
      <c r="M39" s="60"/>
      <c r="N39" s="21" t="str">
        <f>IF(G39="","-",IF(SUM(G39:L39)=0,´´-´´,SMALL(H39:L39,1)))</f>
        <v>-</v>
      </c>
      <c r="O39" s="22" t="str">
        <f t="shared" ref="O39" si="8">IFERROR(IF(G39="","-",N39*G39),"")</f>
        <v>-</v>
      </c>
      <c r="P39" s="22"/>
      <c r="Q39" s="52" t="str">
        <f t="shared" ref="Q39" si="9">IF(P39="","",(P39*G39))</f>
        <v/>
      </c>
      <c r="R39" s="68"/>
      <c r="S39" s="68"/>
      <c r="T39" s="50"/>
      <c r="U39" s="4"/>
    </row>
    <row r="40" spans="2:21" ht="34.799999999999997" hidden="1" customHeight="1" x14ac:dyDescent="0.3">
      <c r="B40" s="4"/>
      <c r="C40" s="66">
        <v>30</v>
      </c>
      <c r="D40" s="67"/>
      <c r="E40" s="19"/>
      <c r="F40" s="60"/>
      <c r="G40" s="60"/>
      <c r="H40" s="60"/>
      <c r="I40" s="20"/>
      <c r="J40" s="20"/>
      <c r="K40" s="20"/>
      <c r="L40" s="20"/>
      <c r="M40" s="60"/>
      <c r="N40" s="21" t="str">
        <f>IF(G40="","-",IF(SUM(G40:L40)=0,´´-´´,SMALL(H40:L40,1)))</f>
        <v>-</v>
      </c>
      <c r="O40" s="22" t="str">
        <f t="shared" si="0"/>
        <v>-</v>
      </c>
      <c r="P40" s="22"/>
      <c r="Q40" s="52" t="str">
        <f t="shared" ref="Q40" si="10">IF(P40="","",(P40*G40))</f>
        <v/>
      </c>
      <c r="R40" s="68"/>
      <c r="S40" s="68"/>
      <c r="T40" s="50"/>
      <c r="U40" s="4"/>
    </row>
    <row r="41" spans="2:21" ht="34.799999999999997" hidden="1" customHeight="1" x14ac:dyDescent="0.3">
      <c r="B41" s="4"/>
      <c r="C41" s="66">
        <v>31</v>
      </c>
      <c r="D41" s="67"/>
      <c r="E41" s="19"/>
      <c r="F41" s="60"/>
      <c r="G41" s="60"/>
      <c r="H41" s="60"/>
      <c r="I41" s="20"/>
      <c r="J41" s="20"/>
      <c r="K41" s="20"/>
      <c r="L41" s="20"/>
      <c r="M41" s="60"/>
      <c r="N41" s="21" t="str">
        <f>IF(G41="","-",IF(SUM(G41:L41)=0,´´-´´,SMALL(H41:L41,1)))</f>
        <v>-</v>
      </c>
      <c r="O41" s="22" t="str">
        <f t="shared" ref="O41" si="11">IFERROR(IF(G41="","-",N41*G41),"")</f>
        <v>-</v>
      </c>
      <c r="P41" s="22"/>
      <c r="Q41" s="52" t="str">
        <f t="shared" ref="Q41" si="12">IF(P41="","",(P41*G41))</f>
        <v/>
      </c>
      <c r="R41" s="68"/>
      <c r="S41" s="68"/>
      <c r="T41" s="50"/>
      <c r="U41" s="4"/>
    </row>
    <row r="42" spans="2:21" ht="34.799999999999997" hidden="1" customHeight="1" x14ac:dyDescent="0.3">
      <c r="B42" s="4"/>
      <c r="C42" s="66">
        <v>32</v>
      </c>
      <c r="D42" s="67"/>
      <c r="E42" s="19"/>
      <c r="F42" s="60"/>
      <c r="G42" s="60"/>
      <c r="H42" s="60"/>
      <c r="I42" s="20"/>
      <c r="J42" s="20"/>
      <c r="K42" s="20"/>
      <c r="L42" s="20"/>
      <c r="M42" s="60"/>
      <c r="N42" s="21" t="str">
        <f>IF(G42="","-",IF(SUM(G42:L42)=0,´´-´´,SMALL(H42:L42,1)))</f>
        <v>-</v>
      </c>
      <c r="O42" s="22" t="str">
        <f t="shared" si="0"/>
        <v>-</v>
      </c>
      <c r="P42" s="22"/>
      <c r="Q42" s="52" t="str">
        <f t="shared" ref="Q42" si="13">IF(P42="","",(P42*G42))</f>
        <v/>
      </c>
      <c r="R42" s="68"/>
      <c r="S42" s="68"/>
      <c r="T42" s="50"/>
      <c r="U42" s="4"/>
    </row>
    <row r="43" spans="2:21" ht="34.799999999999997" hidden="1" customHeight="1" x14ac:dyDescent="0.3">
      <c r="B43" s="4"/>
      <c r="C43" s="66">
        <v>33</v>
      </c>
      <c r="D43" s="67"/>
      <c r="E43" s="19"/>
      <c r="F43" s="60"/>
      <c r="G43" s="60"/>
      <c r="H43" s="60"/>
      <c r="I43" s="20"/>
      <c r="J43" s="20"/>
      <c r="K43" s="20"/>
      <c r="L43" s="20"/>
      <c r="M43" s="60"/>
      <c r="N43" s="21" t="str">
        <f>IF(G43="","-",IF(SUM(G43:L43)=0,´´-´´,SMALL(H43:L43,1)))</f>
        <v>-</v>
      </c>
      <c r="O43" s="22" t="str">
        <f t="shared" ref="O43" si="14">IFERROR(IF(G43="","-",N43*G43),"")</f>
        <v>-</v>
      </c>
      <c r="P43" s="22"/>
      <c r="Q43" s="52" t="str">
        <f t="shared" ref="Q43" si="15">IF(P43="","",(P43*G43))</f>
        <v/>
      </c>
      <c r="R43" s="68"/>
      <c r="S43" s="68"/>
      <c r="T43" s="50"/>
      <c r="U43" s="4"/>
    </row>
    <row r="44" spans="2:21" ht="34.799999999999997" hidden="1" customHeight="1" x14ac:dyDescent="0.3">
      <c r="B44" s="4"/>
      <c r="C44" s="66">
        <v>34</v>
      </c>
      <c r="D44" s="67"/>
      <c r="E44" s="19"/>
      <c r="F44" s="60"/>
      <c r="G44" s="60"/>
      <c r="H44" s="60"/>
      <c r="I44" s="20"/>
      <c r="J44" s="20"/>
      <c r="K44" s="20"/>
      <c r="L44" s="20"/>
      <c r="M44" s="60"/>
      <c r="N44" s="21" t="str">
        <f>IF(G44="","-",IF(SUM(G44:L44)=0,´´-´´,SMALL(H44:L44,1)))</f>
        <v>-</v>
      </c>
      <c r="O44" s="22" t="str">
        <f t="shared" si="0"/>
        <v>-</v>
      </c>
      <c r="P44" s="22"/>
      <c r="Q44" s="52" t="str">
        <f t="shared" ref="Q44" si="16">IF(P44="","",(P44*G44))</f>
        <v/>
      </c>
      <c r="R44" s="68"/>
      <c r="S44" s="68"/>
      <c r="T44" s="50"/>
      <c r="U44" s="4"/>
    </row>
    <row r="45" spans="2:21" ht="34.799999999999997" hidden="1" customHeight="1" x14ac:dyDescent="0.3">
      <c r="B45" s="4"/>
      <c r="C45" s="66">
        <v>35</v>
      </c>
      <c r="D45" s="67"/>
      <c r="E45" s="19"/>
      <c r="F45" s="60"/>
      <c r="G45" s="60"/>
      <c r="H45" s="60"/>
      <c r="I45" s="20"/>
      <c r="J45" s="20"/>
      <c r="K45" s="20"/>
      <c r="L45" s="20"/>
      <c r="M45" s="60"/>
      <c r="N45" s="21" t="str">
        <f>IF(G45="","-",IF(SUM(G45:L45)=0,´´-´´,SMALL(H45:L45,1)))</f>
        <v>-</v>
      </c>
      <c r="O45" s="22" t="str">
        <f t="shared" ref="O45:O47" si="17">IFERROR(IF(G45="","-",N45*G45),"")</f>
        <v>-</v>
      </c>
      <c r="P45" s="22"/>
      <c r="Q45" s="52" t="str">
        <f t="shared" ref="Q45:Q47" si="18">IF(P45="","",(P45*G45))</f>
        <v/>
      </c>
      <c r="R45" s="68"/>
      <c r="S45" s="68"/>
      <c r="T45" s="50"/>
      <c r="U45" s="4"/>
    </row>
    <row r="46" spans="2:21" ht="34.799999999999997" hidden="1" customHeight="1" x14ac:dyDescent="0.3">
      <c r="B46" s="4"/>
      <c r="C46" s="66">
        <v>36</v>
      </c>
      <c r="D46" s="67"/>
      <c r="E46" s="19"/>
      <c r="F46" s="60"/>
      <c r="G46" s="60"/>
      <c r="H46" s="60"/>
      <c r="I46" s="20"/>
      <c r="J46" s="20"/>
      <c r="K46" s="20"/>
      <c r="L46" s="20"/>
      <c r="M46" s="60"/>
      <c r="N46" s="21" t="str">
        <f>IF(G46="","-",IF(SUM(G46:L46)=0,´´-´´,SMALL(H46:L46,1)))</f>
        <v>-</v>
      </c>
      <c r="O46" s="22" t="str">
        <f t="shared" si="17"/>
        <v>-</v>
      </c>
      <c r="P46" s="22"/>
      <c r="Q46" s="52" t="str">
        <f t="shared" si="18"/>
        <v/>
      </c>
      <c r="R46" s="68"/>
      <c r="S46" s="68"/>
      <c r="T46" s="50"/>
      <c r="U46" s="4"/>
    </row>
    <row r="47" spans="2:21" ht="34.799999999999997" hidden="1" customHeight="1" x14ac:dyDescent="0.3">
      <c r="B47" s="4"/>
      <c r="C47" s="66">
        <v>37</v>
      </c>
      <c r="D47" s="67"/>
      <c r="E47" s="19"/>
      <c r="F47" s="60"/>
      <c r="G47" s="60"/>
      <c r="H47" s="60"/>
      <c r="I47" s="20"/>
      <c r="J47" s="20"/>
      <c r="K47" s="20"/>
      <c r="L47" s="20"/>
      <c r="M47" s="60"/>
      <c r="N47" s="21" t="str">
        <f>IF(G47="","-",IF(SUM(G47:L47)=0,´´-´´,SMALL(H47:L47,1)))</f>
        <v>-</v>
      </c>
      <c r="O47" s="22" t="str">
        <f t="shared" si="17"/>
        <v>-</v>
      </c>
      <c r="P47" s="22"/>
      <c r="Q47" s="52" t="str">
        <f t="shared" si="18"/>
        <v/>
      </c>
      <c r="R47" s="68"/>
      <c r="S47" s="68"/>
      <c r="T47" s="50"/>
      <c r="U47" s="4"/>
    </row>
    <row r="48" spans="2:21" ht="34.799999999999997" hidden="1" customHeight="1" x14ac:dyDescent="0.3">
      <c r="B48" s="4"/>
      <c r="C48" s="66">
        <v>38</v>
      </c>
      <c r="D48" s="67"/>
      <c r="E48" s="19"/>
      <c r="F48" s="59"/>
      <c r="G48" s="59"/>
      <c r="H48" s="59"/>
      <c r="I48" s="20"/>
      <c r="J48" s="20"/>
      <c r="K48" s="20"/>
      <c r="L48" s="20"/>
      <c r="M48" s="58"/>
      <c r="N48" s="21" t="str">
        <f>IF(G48="","-",IF(SUM(G48:L48)=0,´´-´´,SMALL(H48:L48,1)))</f>
        <v>-</v>
      </c>
      <c r="O48" s="22" t="str">
        <f t="shared" si="0"/>
        <v>-</v>
      </c>
      <c r="P48" s="22"/>
      <c r="Q48" s="52" t="str">
        <f t="shared" ref="Q48:Q49" si="19">IF(P48="","",(P48*G48))</f>
        <v/>
      </c>
      <c r="R48" s="68"/>
      <c r="S48" s="68"/>
      <c r="T48" s="50"/>
      <c r="U48" s="4"/>
    </row>
    <row r="49" spans="2:21" ht="34.799999999999997" hidden="1" customHeight="1" x14ac:dyDescent="0.3">
      <c r="B49" s="4"/>
      <c r="C49" s="66">
        <v>39</v>
      </c>
      <c r="D49" s="67"/>
      <c r="E49" s="19"/>
      <c r="F49" s="58"/>
      <c r="G49" s="58"/>
      <c r="H49" s="59"/>
      <c r="I49" s="20"/>
      <c r="J49" s="20"/>
      <c r="K49" s="20"/>
      <c r="L49" s="20"/>
      <c r="M49" s="58"/>
      <c r="N49" s="21" t="str">
        <f>IF(G49="","-",IF(SUM(G49:L49)=0,´´-´´,SMALL(H49:L49,1)))</f>
        <v>-</v>
      </c>
      <c r="O49" s="22" t="str">
        <f t="shared" si="0"/>
        <v>-</v>
      </c>
      <c r="P49" s="22"/>
      <c r="Q49" s="52" t="str">
        <f t="shared" si="19"/>
        <v/>
      </c>
      <c r="R49" s="68"/>
      <c r="S49" s="68"/>
      <c r="T49" s="50"/>
      <c r="U49" s="4"/>
    </row>
    <row r="50" spans="2:21" ht="34.799999999999997" hidden="1" customHeight="1" x14ac:dyDescent="0.3">
      <c r="B50" s="4"/>
      <c r="C50" s="66">
        <v>40</v>
      </c>
      <c r="D50" s="67"/>
      <c r="E50" s="19"/>
      <c r="F50" s="58"/>
      <c r="G50" s="58"/>
      <c r="H50" s="58"/>
      <c r="I50" s="20"/>
      <c r="J50" s="20"/>
      <c r="K50" s="20"/>
      <c r="L50" s="20"/>
      <c r="M50" s="23"/>
      <c r="N50" s="21" t="str">
        <f>IF(G50="","-",IF(SUM(G50:L50)=0,´´-´´,SMALL(H50:L50,1)))</f>
        <v>-</v>
      </c>
      <c r="O50" s="22" t="str">
        <f t="shared" si="0"/>
        <v>-</v>
      </c>
      <c r="P50" s="22"/>
      <c r="Q50" s="52" t="str">
        <f t="shared" si="1"/>
        <v/>
      </c>
      <c r="R50" s="68" t="s">
        <v>17</v>
      </c>
      <c r="S50" s="68"/>
      <c r="T50" s="50"/>
      <c r="U50" s="4"/>
    </row>
    <row r="51" spans="2:21" ht="34.799999999999997" hidden="1" customHeight="1" x14ac:dyDescent="0.3">
      <c r="B51" s="4"/>
      <c r="C51" s="66">
        <v>41</v>
      </c>
      <c r="D51" s="67"/>
      <c r="E51" s="19"/>
      <c r="F51" s="58"/>
      <c r="G51" s="58"/>
      <c r="H51" s="58"/>
      <c r="I51" s="20"/>
      <c r="J51" s="20"/>
      <c r="K51" s="20"/>
      <c r="L51" s="20"/>
      <c r="M51" s="23"/>
      <c r="N51" s="21" t="str">
        <f>IF(G51="","-",IF(SUM(G51:L51)=0,´´-´´,SMALL(H51:L51,1)))</f>
        <v>-</v>
      </c>
      <c r="O51" s="22" t="str">
        <f t="shared" si="0"/>
        <v>-</v>
      </c>
      <c r="P51" s="22"/>
      <c r="Q51" s="52" t="str">
        <f t="shared" si="1"/>
        <v/>
      </c>
      <c r="R51" s="68"/>
      <c r="S51" s="68"/>
      <c r="T51" s="50"/>
      <c r="U51" s="4"/>
    </row>
    <row r="52" spans="2:21" ht="34.799999999999997" hidden="1" customHeight="1" x14ac:dyDescent="0.3">
      <c r="B52" s="4"/>
      <c r="C52" s="66">
        <v>42</v>
      </c>
      <c r="D52" s="67"/>
      <c r="E52" s="19"/>
      <c r="F52" s="58"/>
      <c r="G52" s="58"/>
      <c r="H52" s="58"/>
      <c r="I52" s="20"/>
      <c r="J52" s="20"/>
      <c r="K52" s="20"/>
      <c r="L52" s="20"/>
      <c r="M52" s="23"/>
      <c r="N52" s="21" t="str">
        <f>IF(G52="","-",IF(SUM(G52:L52)=0,´´-´´,SMALL(H52:L52,1)))</f>
        <v>-</v>
      </c>
      <c r="O52" s="22" t="str">
        <f t="shared" si="0"/>
        <v>-</v>
      </c>
      <c r="P52" s="22"/>
      <c r="Q52" s="52" t="str">
        <f t="shared" si="1"/>
        <v/>
      </c>
      <c r="R52" s="68"/>
      <c r="S52" s="68"/>
      <c r="T52" s="50"/>
      <c r="U52" s="4"/>
    </row>
    <row r="53" spans="2:21" ht="34.799999999999997" hidden="1" customHeight="1" x14ac:dyDescent="0.3">
      <c r="B53" s="4"/>
      <c r="C53" s="66">
        <v>43</v>
      </c>
      <c r="D53" s="67"/>
      <c r="E53" s="19"/>
      <c r="F53" s="58"/>
      <c r="G53" s="58"/>
      <c r="H53" s="58"/>
      <c r="I53" s="20"/>
      <c r="J53" s="20"/>
      <c r="K53" s="20"/>
      <c r="L53" s="20"/>
      <c r="M53" s="23"/>
      <c r="N53" s="21" t="str">
        <f>IF(G53="","-",IF(SUM(G53:L53)=0,´´-´´,SMALL(H53:L53,1)))</f>
        <v>-</v>
      </c>
      <c r="O53" s="22" t="str">
        <f t="shared" si="0"/>
        <v>-</v>
      </c>
      <c r="P53" s="22"/>
      <c r="Q53" s="52" t="str">
        <f t="shared" si="1"/>
        <v/>
      </c>
      <c r="R53" s="68"/>
      <c r="S53" s="68"/>
      <c r="T53" s="50"/>
      <c r="U53" s="4"/>
    </row>
    <row r="54" spans="2:21" s="13" customFormat="1" ht="18" customHeight="1" x14ac:dyDescent="0.3">
      <c r="B54" s="12"/>
      <c r="C54" s="79"/>
      <c r="D54" s="80"/>
      <c r="E54" s="24"/>
      <c r="F54" s="24"/>
      <c r="G54" s="24"/>
      <c r="H54" s="24"/>
      <c r="I54" s="25" t="str">
        <f>IF(SUM(I11:I53)=0,"",SUM(I11:I53))</f>
        <v/>
      </c>
      <c r="J54" s="25" t="str">
        <f>IF(SUM(J11:J53)=0,"",SUM(J11:J53))</f>
        <v/>
      </c>
      <c r="K54" s="25" t="str">
        <f>IF(SUM(K11:K53)=0,"",SUM(K11:K53))</f>
        <v/>
      </c>
      <c r="L54" s="25" t="str">
        <f>IF(SUM(L11:L53)=0,"",SUM(L11:L53))</f>
        <v/>
      </c>
      <c r="M54" s="24"/>
      <c r="N54" s="26"/>
      <c r="O54" s="21">
        <f>SUM(O11:O53)</f>
        <v>0</v>
      </c>
      <c r="P54" s="24"/>
      <c r="Q54" s="53">
        <f>SUM(Q11:Q53)</f>
        <v>0</v>
      </c>
      <c r="R54" s="81"/>
      <c r="S54" s="81"/>
      <c r="T54" s="54"/>
      <c r="U54" s="12"/>
    </row>
    <row r="55" spans="2:21" ht="16.2" customHeight="1" x14ac:dyDescent="0.3">
      <c r="B55" s="8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55"/>
      <c r="P55" s="10"/>
      <c r="Q55" s="56"/>
      <c r="R55" s="56"/>
      <c r="S55" s="56"/>
      <c r="T55" s="56"/>
      <c r="U55" s="10"/>
    </row>
    <row r="56" spans="2:21" x14ac:dyDescent="0.3">
      <c r="O56" s="57"/>
      <c r="T56" s="8"/>
    </row>
    <row r="59" spans="2:21" x14ac:dyDescent="0.3">
      <c r="I59" s="14"/>
      <c r="J59" s="14"/>
      <c r="K59" s="14"/>
      <c r="L59" s="14"/>
    </row>
  </sheetData>
  <mergeCells count="103">
    <mergeCell ref="C30:D30"/>
    <mergeCell ref="R30:S30"/>
    <mergeCell ref="C31:D31"/>
    <mergeCell ref="R31:S31"/>
    <mergeCell ref="C27:D27"/>
    <mergeCell ref="R27:S27"/>
    <mergeCell ref="C28:D28"/>
    <mergeCell ref="R28:S28"/>
    <mergeCell ref="C29:D29"/>
    <mergeCell ref="R29:S29"/>
    <mergeCell ref="C24:D24"/>
    <mergeCell ref="R24:S24"/>
    <mergeCell ref="C25:D25"/>
    <mergeCell ref="R25:S25"/>
    <mergeCell ref="C26:D26"/>
    <mergeCell ref="R26:S26"/>
    <mergeCell ref="C33:D33"/>
    <mergeCell ref="R33:S33"/>
    <mergeCell ref="C17:D17"/>
    <mergeCell ref="R17:S17"/>
    <mergeCell ref="C18:D18"/>
    <mergeCell ref="R18:S18"/>
    <mergeCell ref="C19:D19"/>
    <mergeCell ref="R19:S19"/>
    <mergeCell ref="C20:D20"/>
    <mergeCell ref="R20:S20"/>
    <mergeCell ref="C21:D21"/>
    <mergeCell ref="R21:S21"/>
    <mergeCell ref="C22:D22"/>
    <mergeCell ref="R22:S22"/>
    <mergeCell ref="C23:D23"/>
    <mergeCell ref="R23:S23"/>
    <mergeCell ref="C38:D38"/>
    <mergeCell ref="R38:S38"/>
    <mergeCell ref="C34:D34"/>
    <mergeCell ref="R34:S34"/>
    <mergeCell ref="C35:D35"/>
    <mergeCell ref="R35:S35"/>
    <mergeCell ref="C36:D36"/>
    <mergeCell ref="R36:S36"/>
    <mergeCell ref="C37:D37"/>
    <mergeCell ref="R37:S37"/>
    <mergeCell ref="C41:D41"/>
    <mergeCell ref="R41:S41"/>
    <mergeCell ref="C40:D40"/>
    <mergeCell ref="R40:S40"/>
    <mergeCell ref="C39:D39"/>
    <mergeCell ref="R39:S39"/>
    <mergeCell ref="C44:D44"/>
    <mergeCell ref="R44:S44"/>
    <mergeCell ref="C43:D43"/>
    <mergeCell ref="R43:S43"/>
    <mergeCell ref="C42:D42"/>
    <mergeCell ref="R42:S42"/>
    <mergeCell ref="C45:D45"/>
    <mergeCell ref="R45:S45"/>
    <mergeCell ref="C46:D46"/>
    <mergeCell ref="R46:S46"/>
    <mergeCell ref="C47:D47"/>
    <mergeCell ref="R47:S47"/>
    <mergeCell ref="C54:D54"/>
    <mergeCell ref="R54:S54"/>
    <mergeCell ref="C32:D32"/>
    <mergeCell ref="R32:S32"/>
    <mergeCell ref="C51:D51"/>
    <mergeCell ref="R51:S51"/>
    <mergeCell ref="C52:D52"/>
    <mergeCell ref="R52:S52"/>
    <mergeCell ref="C53:D53"/>
    <mergeCell ref="R53:S53"/>
    <mergeCell ref="C48:D48"/>
    <mergeCell ref="R48:S48"/>
    <mergeCell ref="C49:D49"/>
    <mergeCell ref="R49:S49"/>
    <mergeCell ref="C50:D50"/>
    <mergeCell ref="R50:S50"/>
    <mergeCell ref="C15:D15"/>
    <mergeCell ref="R14:S14"/>
    <mergeCell ref="R15:S15"/>
    <mergeCell ref="C16:D16"/>
    <mergeCell ref="R16:S16"/>
    <mergeCell ref="R9:S10"/>
    <mergeCell ref="C12:D12"/>
    <mergeCell ref="R12:S12"/>
    <mergeCell ref="C14:D14"/>
    <mergeCell ref="C13:D13"/>
    <mergeCell ref="R13:S13"/>
    <mergeCell ref="Q1:R1"/>
    <mergeCell ref="Q2:R2"/>
    <mergeCell ref="Q3:R3"/>
    <mergeCell ref="C6:E6"/>
    <mergeCell ref="C11:D11"/>
    <mergeCell ref="R11:S11"/>
    <mergeCell ref="C9:D10"/>
    <mergeCell ref="E9:E10"/>
    <mergeCell ref="F9:F10"/>
    <mergeCell ref="G9:G10"/>
    <mergeCell ref="H9:H10"/>
    <mergeCell ref="M9:M10"/>
    <mergeCell ref="N9:N10"/>
    <mergeCell ref="O9:O10"/>
    <mergeCell ref="P9:P10"/>
    <mergeCell ref="Q9:Q10"/>
  </mergeCells>
  <conditionalFormatting sqref="N11 N16 N13 N50:N53">
    <cfRule type="cellIs" dxfId="106" priority="138" operator="equal">
      <formula>MIN(I11:L11)</formula>
    </cfRule>
  </conditionalFormatting>
  <conditionalFormatting sqref="I11:L16 I48:L53">
    <cfRule type="cellIs" dxfId="105" priority="136" operator="equal">
      <formula>$N11</formula>
    </cfRule>
  </conditionalFormatting>
  <conditionalFormatting sqref="N11 N16 N50:N53 N13">
    <cfRule type="cellIs" dxfId="104" priority="135" operator="equal">
      <formula>"-"</formula>
    </cfRule>
  </conditionalFormatting>
  <conditionalFormatting sqref="I54:L54">
    <cfRule type="cellIs" dxfId="103" priority="126" operator="equal">
      <formula>MIN($I$54:$L$54)</formula>
    </cfRule>
  </conditionalFormatting>
  <conditionalFormatting sqref="N12">
    <cfRule type="cellIs" dxfId="102" priority="119" operator="equal">
      <formula>MIN(I12:L12)</formula>
    </cfRule>
  </conditionalFormatting>
  <conditionalFormatting sqref="N12">
    <cfRule type="cellIs" dxfId="101" priority="117" operator="equal">
      <formula>"-"</formula>
    </cfRule>
  </conditionalFormatting>
  <conditionalFormatting sqref="N14">
    <cfRule type="cellIs" dxfId="100" priority="108" operator="equal">
      <formula>MIN(I14:L14)</formula>
    </cfRule>
  </conditionalFormatting>
  <conditionalFormatting sqref="N14">
    <cfRule type="cellIs" dxfId="99" priority="106" operator="equal">
      <formula>"-"</formula>
    </cfRule>
  </conditionalFormatting>
  <conditionalFormatting sqref="N15">
    <cfRule type="cellIs" dxfId="98" priority="105" operator="equal">
      <formula>MIN(I15:L15)</formula>
    </cfRule>
  </conditionalFormatting>
  <conditionalFormatting sqref="N15">
    <cfRule type="cellIs" dxfId="97" priority="102" operator="equal">
      <formula>"-"</formula>
    </cfRule>
  </conditionalFormatting>
  <conditionalFormatting sqref="N48">
    <cfRule type="cellIs" dxfId="96" priority="101" operator="equal">
      <formula>MIN(I48:L48)</formula>
    </cfRule>
  </conditionalFormatting>
  <conditionalFormatting sqref="N48">
    <cfRule type="cellIs" dxfId="95" priority="98" operator="equal">
      <formula>"-"</formula>
    </cfRule>
  </conditionalFormatting>
  <conditionalFormatting sqref="N49">
    <cfRule type="cellIs" dxfId="94" priority="97" operator="equal">
      <formula>MIN(I49:L49)</formula>
    </cfRule>
  </conditionalFormatting>
  <conditionalFormatting sqref="N49">
    <cfRule type="cellIs" dxfId="93" priority="94" operator="equal">
      <formula>"-"</formula>
    </cfRule>
  </conditionalFormatting>
  <conditionalFormatting sqref="I45:L45">
    <cfRule type="cellIs" dxfId="92" priority="93" operator="equal">
      <formula>$N45</formula>
    </cfRule>
  </conditionalFormatting>
  <conditionalFormatting sqref="N45">
    <cfRule type="cellIs" dxfId="91" priority="92" operator="equal">
      <formula>MIN(I45:L45)</formula>
    </cfRule>
  </conditionalFormatting>
  <conditionalFormatting sqref="N45">
    <cfRule type="cellIs" dxfId="90" priority="91" operator="equal">
      <formula>"-"</formula>
    </cfRule>
  </conditionalFormatting>
  <conditionalFormatting sqref="I46:L46">
    <cfRule type="cellIs" dxfId="89" priority="90" operator="equal">
      <formula>$N46</formula>
    </cfRule>
  </conditionalFormatting>
  <conditionalFormatting sqref="N46">
    <cfRule type="cellIs" dxfId="88" priority="89" operator="equal">
      <formula>MIN(I46:L46)</formula>
    </cfRule>
  </conditionalFormatting>
  <conditionalFormatting sqref="N46">
    <cfRule type="cellIs" dxfId="87" priority="88" operator="equal">
      <formula>"-"</formula>
    </cfRule>
  </conditionalFormatting>
  <conditionalFormatting sqref="I47:L47">
    <cfRule type="cellIs" dxfId="86" priority="87" operator="equal">
      <formula>$N47</formula>
    </cfRule>
  </conditionalFormatting>
  <conditionalFormatting sqref="N47">
    <cfRule type="cellIs" dxfId="85" priority="86" operator="equal">
      <formula>MIN(I47:L47)</formula>
    </cfRule>
  </conditionalFormatting>
  <conditionalFormatting sqref="N47">
    <cfRule type="cellIs" dxfId="84" priority="85" operator="equal">
      <formula>"-"</formula>
    </cfRule>
  </conditionalFormatting>
  <conditionalFormatting sqref="I44:L44">
    <cfRule type="cellIs" dxfId="83" priority="84" operator="equal">
      <formula>$N44</formula>
    </cfRule>
  </conditionalFormatting>
  <conditionalFormatting sqref="N44">
    <cfRule type="cellIs" dxfId="82" priority="83" operator="equal">
      <formula>MIN(I44:L44)</formula>
    </cfRule>
  </conditionalFormatting>
  <conditionalFormatting sqref="N44">
    <cfRule type="cellIs" dxfId="81" priority="82" operator="equal">
      <formula>"-"</formula>
    </cfRule>
  </conditionalFormatting>
  <conditionalFormatting sqref="I43:L43">
    <cfRule type="cellIs" dxfId="80" priority="81" operator="equal">
      <formula>$N43</formula>
    </cfRule>
  </conditionalFormatting>
  <conditionalFormatting sqref="N43">
    <cfRule type="cellIs" dxfId="79" priority="80" operator="equal">
      <formula>MIN(I43:L43)</formula>
    </cfRule>
  </conditionalFormatting>
  <conditionalFormatting sqref="N43">
    <cfRule type="cellIs" dxfId="78" priority="79" operator="equal">
      <formula>"-"</formula>
    </cfRule>
  </conditionalFormatting>
  <conditionalFormatting sqref="I42:L42">
    <cfRule type="cellIs" dxfId="77" priority="78" operator="equal">
      <formula>$N42</formula>
    </cfRule>
  </conditionalFormatting>
  <conditionalFormatting sqref="N42">
    <cfRule type="cellIs" dxfId="76" priority="77" operator="equal">
      <formula>MIN(I42:L42)</formula>
    </cfRule>
  </conditionalFormatting>
  <conditionalFormatting sqref="N42">
    <cfRule type="cellIs" dxfId="75" priority="76" operator="equal">
      <formula>"-"</formula>
    </cfRule>
  </conditionalFormatting>
  <conditionalFormatting sqref="I41:L41">
    <cfRule type="cellIs" dxfId="74" priority="75" operator="equal">
      <formula>$N41</formula>
    </cfRule>
  </conditionalFormatting>
  <conditionalFormatting sqref="N41">
    <cfRule type="cellIs" dxfId="73" priority="74" operator="equal">
      <formula>MIN(I41:L41)</formula>
    </cfRule>
  </conditionalFormatting>
  <conditionalFormatting sqref="N41">
    <cfRule type="cellIs" dxfId="72" priority="73" operator="equal">
      <formula>"-"</formula>
    </cfRule>
  </conditionalFormatting>
  <conditionalFormatting sqref="I40:L40">
    <cfRule type="cellIs" dxfId="71" priority="72" operator="equal">
      <formula>$N40</formula>
    </cfRule>
  </conditionalFormatting>
  <conditionalFormatting sqref="N40">
    <cfRule type="cellIs" dxfId="70" priority="71" operator="equal">
      <formula>MIN(I40:L40)</formula>
    </cfRule>
  </conditionalFormatting>
  <conditionalFormatting sqref="N40">
    <cfRule type="cellIs" dxfId="69" priority="70" operator="equal">
      <formula>"-"</formula>
    </cfRule>
  </conditionalFormatting>
  <conditionalFormatting sqref="I39:L39">
    <cfRule type="cellIs" dxfId="68" priority="69" operator="equal">
      <formula>$N39</formula>
    </cfRule>
  </conditionalFormatting>
  <conditionalFormatting sqref="N39">
    <cfRule type="cellIs" dxfId="67" priority="68" operator="equal">
      <formula>MIN(I39:L39)</formula>
    </cfRule>
  </conditionalFormatting>
  <conditionalFormatting sqref="N39">
    <cfRule type="cellIs" dxfId="66" priority="67" operator="equal">
      <formula>"-"</formula>
    </cfRule>
  </conditionalFormatting>
  <conditionalFormatting sqref="I38:L38">
    <cfRule type="cellIs" dxfId="65" priority="66" operator="equal">
      <formula>$N38</formula>
    </cfRule>
  </conditionalFormatting>
  <conditionalFormatting sqref="N38">
    <cfRule type="cellIs" dxfId="64" priority="65" operator="equal">
      <formula>MIN(I38:L38)</formula>
    </cfRule>
  </conditionalFormatting>
  <conditionalFormatting sqref="N38">
    <cfRule type="cellIs" dxfId="63" priority="64" operator="equal">
      <formula>"-"</formula>
    </cfRule>
  </conditionalFormatting>
  <conditionalFormatting sqref="I37:L37">
    <cfRule type="cellIs" dxfId="62" priority="63" operator="equal">
      <formula>$N37</formula>
    </cfRule>
  </conditionalFormatting>
  <conditionalFormatting sqref="N37">
    <cfRule type="cellIs" dxfId="61" priority="62" operator="equal">
      <formula>MIN(I37:L37)</formula>
    </cfRule>
  </conditionalFormatting>
  <conditionalFormatting sqref="N37">
    <cfRule type="cellIs" dxfId="60" priority="61" operator="equal">
      <formula>"-"</formula>
    </cfRule>
  </conditionalFormatting>
  <conditionalFormatting sqref="I36:L36">
    <cfRule type="cellIs" dxfId="59" priority="60" operator="equal">
      <formula>$N36</formula>
    </cfRule>
  </conditionalFormatting>
  <conditionalFormatting sqref="N36">
    <cfRule type="cellIs" dxfId="58" priority="59" operator="equal">
      <formula>MIN(I36:L36)</formula>
    </cfRule>
  </conditionalFormatting>
  <conditionalFormatting sqref="N36">
    <cfRule type="cellIs" dxfId="57" priority="58" operator="equal">
      <formula>"-"</formula>
    </cfRule>
  </conditionalFormatting>
  <conditionalFormatting sqref="I35:L35">
    <cfRule type="cellIs" dxfId="56" priority="57" operator="equal">
      <formula>$N35</formula>
    </cfRule>
  </conditionalFormatting>
  <conditionalFormatting sqref="N35">
    <cfRule type="cellIs" dxfId="55" priority="56" operator="equal">
      <formula>MIN(I35:L35)</formula>
    </cfRule>
  </conditionalFormatting>
  <conditionalFormatting sqref="N35">
    <cfRule type="cellIs" dxfId="54" priority="55" operator="equal">
      <formula>"-"</formula>
    </cfRule>
  </conditionalFormatting>
  <conditionalFormatting sqref="I34:L34">
    <cfRule type="cellIs" dxfId="53" priority="54" operator="equal">
      <formula>$N34</formula>
    </cfRule>
  </conditionalFormatting>
  <conditionalFormatting sqref="N34">
    <cfRule type="cellIs" dxfId="52" priority="53" operator="equal">
      <formula>MIN(I34:L34)</formula>
    </cfRule>
  </conditionalFormatting>
  <conditionalFormatting sqref="N34">
    <cfRule type="cellIs" dxfId="51" priority="52" operator="equal">
      <formula>"-"</formula>
    </cfRule>
  </conditionalFormatting>
  <conditionalFormatting sqref="I33:L33">
    <cfRule type="cellIs" dxfId="50" priority="51" operator="equal">
      <formula>$N33</formula>
    </cfRule>
  </conditionalFormatting>
  <conditionalFormatting sqref="N33">
    <cfRule type="cellIs" dxfId="49" priority="50" operator="equal">
      <formula>MIN(I33:L33)</formula>
    </cfRule>
  </conditionalFormatting>
  <conditionalFormatting sqref="N33">
    <cfRule type="cellIs" dxfId="48" priority="49" operator="equal">
      <formula>"-"</formula>
    </cfRule>
  </conditionalFormatting>
  <conditionalFormatting sqref="I32:L32">
    <cfRule type="cellIs" dxfId="47" priority="48" operator="equal">
      <formula>$N32</formula>
    </cfRule>
  </conditionalFormatting>
  <conditionalFormatting sqref="N32">
    <cfRule type="cellIs" dxfId="46" priority="47" operator="equal">
      <formula>MIN(I32:L32)</formula>
    </cfRule>
  </conditionalFormatting>
  <conditionalFormatting sqref="N32">
    <cfRule type="cellIs" dxfId="45" priority="46" operator="equal">
      <formula>"-"</formula>
    </cfRule>
  </conditionalFormatting>
  <conditionalFormatting sqref="I29:L29">
    <cfRule type="cellIs" dxfId="44" priority="45" operator="equal">
      <formula>$N29</formula>
    </cfRule>
  </conditionalFormatting>
  <conditionalFormatting sqref="N29">
    <cfRule type="cellIs" dxfId="43" priority="44" operator="equal">
      <formula>MIN(I29:L29)</formula>
    </cfRule>
  </conditionalFormatting>
  <conditionalFormatting sqref="N29">
    <cfRule type="cellIs" dxfId="42" priority="43" operator="equal">
      <formula>"-"</formula>
    </cfRule>
  </conditionalFormatting>
  <conditionalFormatting sqref="I30:L30">
    <cfRule type="cellIs" dxfId="41" priority="42" operator="equal">
      <formula>$N30</formula>
    </cfRule>
  </conditionalFormatting>
  <conditionalFormatting sqref="N30">
    <cfRule type="cellIs" dxfId="40" priority="41" operator="equal">
      <formula>MIN(I30:L30)</formula>
    </cfRule>
  </conditionalFormatting>
  <conditionalFormatting sqref="N30">
    <cfRule type="cellIs" dxfId="39" priority="40" operator="equal">
      <formula>"-"</formula>
    </cfRule>
  </conditionalFormatting>
  <conditionalFormatting sqref="I31:L31">
    <cfRule type="cellIs" dxfId="38" priority="39" operator="equal">
      <formula>$N31</formula>
    </cfRule>
  </conditionalFormatting>
  <conditionalFormatting sqref="N31">
    <cfRule type="cellIs" dxfId="37" priority="38" operator="equal">
      <formula>MIN(I31:L31)</formula>
    </cfRule>
  </conditionalFormatting>
  <conditionalFormatting sqref="N31">
    <cfRule type="cellIs" dxfId="36" priority="37" operator="equal">
      <formula>"-"</formula>
    </cfRule>
  </conditionalFormatting>
  <conditionalFormatting sqref="I28:L28">
    <cfRule type="cellIs" dxfId="35" priority="36" operator="equal">
      <formula>$N28</formula>
    </cfRule>
  </conditionalFormatting>
  <conditionalFormatting sqref="N28">
    <cfRule type="cellIs" dxfId="34" priority="35" operator="equal">
      <formula>MIN(I28:L28)</formula>
    </cfRule>
  </conditionalFormatting>
  <conditionalFormatting sqref="N28">
    <cfRule type="cellIs" dxfId="33" priority="34" operator="equal">
      <formula>"-"</formula>
    </cfRule>
  </conditionalFormatting>
  <conditionalFormatting sqref="I27:L27">
    <cfRule type="cellIs" dxfId="32" priority="33" operator="equal">
      <formula>$N27</formula>
    </cfRule>
  </conditionalFormatting>
  <conditionalFormatting sqref="N27">
    <cfRule type="cellIs" dxfId="31" priority="32" operator="equal">
      <formula>MIN(I27:L27)</formula>
    </cfRule>
  </conditionalFormatting>
  <conditionalFormatting sqref="N27">
    <cfRule type="cellIs" dxfId="30" priority="31" operator="equal">
      <formula>"-"</formula>
    </cfRule>
  </conditionalFormatting>
  <conditionalFormatting sqref="I26:L26">
    <cfRule type="cellIs" dxfId="29" priority="30" operator="equal">
      <formula>$N26</formula>
    </cfRule>
  </conditionalFormatting>
  <conditionalFormatting sqref="N26">
    <cfRule type="cellIs" dxfId="28" priority="29" operator="equal">
      <formula>MIN(I26:L26)</formula>
    </cfRule>
  </conditionalFormatting>
  <conditionalFormatting sqref="N26">
    <cfRule type="cellIs" dxfId="27" priority="28" operator="equal">
      <formula>"-"</formula>
    </cfRule>
  </conditionalFormatting>
  <conditionalFormatting sqref="I25:L25">
    <cfRule type="cellIs" dxfId="26" priority="27" operator="equal">
      <formula>$N25</formula>
    </cfRule>
  </conditionalFormatting>
  <conditionalFormatting sqref="N25">
    <cfRule type="cellIs" dxfId="25" priority="26" operator="equal">
      <formula>MIN(I25:L25)</formula>
    </cfRule>
  </conditionalFormatting>
  <conditionalFormatting sqref="N25">
    <cfRule type="cellIs" dxfId="24" priority="25" operator="equal">
      <formula>"-"</formula>
    </cfRule>
  </conditionalFormatting>
  <conditionalFormatting sqref="I24:L24">
    <cfRule type="cellIs" dxfId="23" priority="24" operator="equal">
      <formula>$N24</formula>
    </cfRule>
  </conditionalFormatting>
  <conditionalFormatting sqref="N24">
    <cfRule type="cellIs" dxfId="22" priority="23" operator="equal">
      <formula>MIN(I24:L24)</formula>
    </cfRule>
  </conditionalFormatting>
  <conditionalFormatting sqref="N24">
    <cfRule type="cellIs" dxfId="21" priority="22" operator="equal">
      <formula>"-"</formula>
    </cfRule>
  </conditionalFormatting>
  <conditionalFormatting sqref="I23:L23">
    <cfRule type="cellIs" dxfId="20" priority="21" operator="equal">
      <formula>$N23</formula>
    </cfRule>
  </conditionalFormatting>
  <conditionalFormatting sqref="N23">
    <cfRule type="cellIs" dxfId="19" priority="20" operator="equal">
      <formula>MIN(I23:L23)</formula>
    </cfRule>
  </conditionalFormatting>
  <conditionalFormatting sqref="N23">
    <cfRule type="cellIs" dxfId="18" priority="19" operator="equal">
      <formula>"-"</formula>
    </cfRule>
  </conditionalFormatting>
  <conditionalFormatting sqref="I22:L22">
    <cfRule type="cellIs" dxfId="17" priority="18" operator="equal">
      <formula>$N22</formula>
    </cfRule>
  </conditionalFormatting>
  <conditionalFormatting sqref="N22">
    <cfRule type="cellIs" dxfId="16" priority="17" operator="equal">
      <formula>MIN(I22:L22)</formula>
    </cfRule>
  </conditionalFormatting>
  <conditionalFormatting sqref="N22">
    <cfRule type="cellIs" dxfId="15" priority="16" operator="equal">
      <formula>"-"</formula>
    </cfRule>
  </conditionalFormatting>
  <conditionalFormatting sqref="I21:L21">
    <cfRule type="cellIs" dxfId="14" priority="15" operator="equal">
      <formula>$N21</formula>
    </cfRule>
  </conditionalFormatting>
  <conditionalFormatting sqref="N21">
    <cfRule type="cellIs" dxfId="13" priority="14" operator="equal">
      <formula>MIN(I21:L21)</formula>
    </cfRule>
  </conditionalFormatting>
  <conditionalFormatting sqref="N21">
    <cfRule type="cellIs" dxfId="12" priority="13" operator="equal">
      <formula>"-"</formula>
    </cfRule>
  </conditionalFormatting>
  <conditionalFormatting sqref="I20:L20">
    <cfRule type="cellIs" dxfId="11" priority="12" operator="equal">
      <formula>$N20</formula>
    </cfRule>
  </conditionalFormatting>
  <conditionalFormatting sqref="N20">
    <cfRule type="cellIs" dxfId="10" priority="11" operator="equal">
      <formula>MIN(I20:L20)</formula>
    </cfRule>
  </conditionalFormatting>
  <conditionalFormatting sqref="N20">
    <cfRule type="cellIs" dxfId="9" priority="10" operator="equal">
      <formula>"-"</formula>
    </cfRule>
  </conditionalFormatting>
  <conditionalFormatting sqref="I19:L19">
    <cfRule type="cellIs" dxfId="8" priority="9" operator="equal">
      <formula>$N19</formula>
    </cfRule>
  </conditionalFormatting>
  <conditionalFormatting sqref="N19">
    <cfRule type="cellIs" dxfId="7" priority="8" operator="equal">
      <formula>MIN(I19:L19)</formula>
    </cfRule>
  </conditionalFormatting>
  <conditionalFormatting sqref="N19">
    <cfRule type="cellIs" dxfId="6" priority="7" operator="equal">
      <formula>"-"</formula>
    </cfRule>
  </conditionalFormatting>
  <conditionalFormatting sqref="I18:L18">
    <cfRule type="cellIs" dxfId="5" priority="6" operator="equal">
      <formula>$N18</formula>
    </cfRule>
  </conditionalFormatting>
  <conditionalFormatting sqref="N18">
    <cfRule type="cellIs" dxfId="4" priority="5" operator="equal">
      <formula>MIN(I18:L18)</formula>
    </cfRule>
  </conditionalFormatting>
  <conditionalFormatting sqref="N18">
    <cfRule type="cellIs" dxfId="3" priority="4" operator="equal">
      <formula>"-"</formula>
    </cfRule>
  </conditionalFormatting>
  <conditionalFormatting sqref="I17:L17">
    <cfRule type="cellIs" dxfId="2" priority="3" operator="equal">
      <formula>$N17</formula>
    </cfRule>
  </conditionalFormatting>
  <conditionalFormatting sqref="N17">
    <cfRule type="cellIs" dxfId="1" priority="2" operator="equal">
      <formula>MIN(I17:L17)</formula>
    </cfRule>
  </conditionalFormatting>
  <conditionalFormatting sqref="N17">
    <cfRule type="cellIs" dxfId="0" priority="1" operator="equal">
      <formula>"-"</formula>
    </cfRule>
  </conditionalFormatting>
  <pageMargins left="0" right="0" top="0" bottom="0" header="0" footer="0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Arklok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GIULLIA BRANDAO SAMPAIO</dc:creator>
  <cp:lastModifiedBy>KAIO RUBENS ASSUMCAO PORTO</cp:lastModifiedBy>
  <cp:lastPrinted>2026-02-13T15:03:55Z</cp:lastPrinted>
  <dcterms:created xsi:type="dcterms:W3CDTF">2024-05-21T18:21:14Z</dcterms:created>
  <dcterms:modified xsi:type="dcterms:W3CDTF">2026-05-07T19:58:13Z</dcterms:modified>
</cp:coreProperties>
</file>